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.mercurio\Downloads\"/>
    </mc:Choice>
  </mc:AlternateContent>
  <xr:revisionPtr revIDLastSave="0" documentId="13_ncr:1_{DEDE3849-806E-4B7D-B77D-7559E54CD7EE}" xr6:coauthVersionLast="47" xr6:coauthVersionMax="47" xr10:uidLastSave="{00000000-0000-0000-0000-000000000000}"/>
  <bookViews>
    <workbookView xWindow="57480" yWindow="-120" windowWidth="29040" windowHeight="15720" xr2:uid="{FF94FDBB-7E1C-4349-A12A-5CA933A991FE}"/>
  </bookViews>
  <sheets>
    <sheet name="Foglio1" sheetId="1" r:id="rId1"/>
  </sheets>
  <definedNames>
    <definedName name="_xlnm.Print_Area" localSheetId="0">Foglio1!$A$7:$G$95</definedName>
    <definedName name="FormatoStampa">Foglio1!#REF!</definedName>
    <definedName name="ZonaInserimento">Foglio1!#REF!,Foglio1!#REF!,Foglio1!#REF!,Foglio1!#REF!,Foglio1!#REF!,Foglio1!#REF!,Foglio1!#REF!,Foglio1!#REF!,Foglio1!#REF!,Foglio1!#REF!,Foglio1!#REF!,Foglio1!$F$29:$G$29,Foglio1!#REF!,Foglio1!$F$35:$G$35,Foglio1!$F$46:$G$47,Foglio1!$F$51:$G$52,Foglio1!$B$51:$C$52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C53" i="1"/>
  <c r="F53" i="1"/>
  <c r="G53" i="1"/>
  <c r="G12" i="1"/>
  <c r="C12" i="1"/>
  <c r="C50" i="1" s="1"/>
  <c r="F12" i="1"/>
  <c r="B12" i="1"/>
  <c r="F50" i="1" s="1"/>
  <c r="B50" i="1" l="1"/>
  <c r="G50" i="1"/>
  <c r="C8" i="1"/>
  <c r="F33" i="1"/>
  <c r="F39" i="1"/>
  <c r="F45" i="1"/>
  <c r="B61" i="1"/>
  <c r="B64" i="1"/>
  <c r="B33" i="1"/>
  <c r="F23" i="1" l="1"/>
  <c r="G23" i="1"/>
  <c r="G20" i="1"/>
  <c r="G33" i="1"/>
  <c r="C33" i="1"/>
  <c r="G45" i="1"/>
  <c r="G39" i="1"/>
  <c r="G14" i="1"/>
  <c r="F17" i="1"/>
  <c r="F14" i="1"/>
  <c r="F20" i="1"/>
  <c r="F27" i="1"/>
  <c r="G17" i="1"/>
  <c r="G27" i="1"/>
  <c r="B27" i="1"/>
  <c r="C27" i="1"/>
  <c r="F28" i="1" l="1"/>
  <c r="F30" i="1" s="1"/>
  <c r="F40" i="1" s="1"/>
  <c r="G28" i="1"/>
  <c r="G30" i="1" s="1"/>
  <c r="G40" i="1" s="1"/>
  <c r="F36" i="1"/>
  <c r="F41" i="1" s="1"/>
  <c r="F42" i="1" s="1"/>
  <c r="B62" i="1" s="1"/>
  <c r="B63" i="1" s="1"/>
  <c r="B65" i="1" s="1"/>
  <c r="B66" i="1" s="1"/>
  <c r="G36" i="1"/>
  <c r="G41" i="1" s="1"/>
  <c r="G42" i="1" l="1"/>
</calcChain>
</file>

<file path=xl/sharedStrings.xml><?xml version="1.0" encoding="utf-8"?>
<sst xmlns="http://schemas.openxmlformats.org/spreadsheetml/2006/main" count="76" uniqueCount="68">
  <si>
    <t xml:space="preserve"> </t>
  </si>
  <si>
    <t>Costi figurativi</t>
  </si>
  <si>
    <t>Proventi figurativi</t>
  </si>
  <si>
    <t>1) da attività di interesse generale</t>
  </si>
  <si>
    <t>2) da attività diverse</t>
  </si>
  <si>
    <t>Totale</t>
  </si>
  <si>
    <t>USCITE</t>
  </si>
  <si>
    <t>ENTRATE</t>
  </si>
  <si>
    <t>A) Uscite da attività di interesse generale</t>
  </si>
  <si>
    <t>A) Entrate da attività di interesse generale</t>
  </si>
  <si>
    <t>Avanzo/disavanzo attività di interesse generale (+/-)</t>
  </si>
  <si>
    <t>B) Uscite da attività diverse</t>
  </si>
  <si>
    <t>B) Entrate da attività diverse</t>
  </si>
  <si>
    <t>Avanzo/disavanzo attività diverse (+/-)</t>
  </si>
  <si>
    <t>C) Uscite da attività di raccolta fondi</t>
  </si>
  <si>
    <t>C) Entrate da attività di raccolta fondi</t>
  </si>
  <si>
    <t>Avanzo/disavanzo attività di raccolta fondi (+/-)</t>
  </si>
  <si>
    <t>D) Uscite da attività finanziarie e patrimoniali</t>
  </si>
  <si>
    <t>D) Entrate da attività finanziarie e patrimoniali</t>
  </si>
  <si>
    <t>Avanzo/disavanzo attività finanziarie e patrimoniali (+/-)</t>
  </si>
  <si>
    <t>E) Uscite di supporto generale</t>
  </si>
  <si>
    <t>E) Entrate di supporto generale</t>
  </si>
  <si>
    <t>TOTALE ONERI E COSTI</t>
  </si>
  <si>
    <t>Avanzo/disavanzo d’esercizio prima delle imposte (+/-)</t>
  </si>
  <si>
    <t>Imposte</t>
  </si>
  <si>
    <t>Avanzo/disavanzo d’esercizio prima di investimenti e disinvestimenti patrimoniali e finanziamenti (+/-)</t>
  </si>
  <si>
    <t>Uscite da investimenti in immobilizzazioni o da deflussi di capitale di terzi</t>
  </si>
  <si>
    <t>Entrate da disinvestimenti in immobilizzazioni o da flussi di capitale di terzi</t>
  </si>
  <si>
    <t>Avanzo/disavanzo da entrate e uscite per investimenti e disinvestimenti patrimoniali e finanziamenti (+/-)</t>
  </si>
  <si>
    <t>Avanzo/disavanzo complessivo (+/-)</t>
  </si>
  <si>
    <t>Cassa e banca</t>
  </si>
  <si>
    <t>Cassa</t>
  </si>
  <si>
    <t>Depositi bancari e postali</t>
  </si>
  <si>
    <t>TOTALE ENTRATE DELLA GESTIONE</t>
  </si>
  <si>
    <t>Cassa e Banca anno precedente</t>
  </si>
  <si>
    <t>Avanzo/Disavanzo corrente</t>
  </si>
  <si>
    <t>Cassa e Banca anno corrente</t>
  </si>
  <si>
    <t>Esito controllo</t>
  </si>
  <si>
    <t xml:space="preserve">ASSOCIAZIONE XX </t>
  </si>
  <si>
    <t>Maggiori informazioni:</t>
  </si>
  <si>
    <t>Mettiamo a disposizione questo modello Excel senza responsabilità, come previsto dai nostri Termini e Condizioni d'uso:</t>
  </si>
  <si>
    <t>https://www.banana.ch/it/node/9249</t>
  </si>
  <si>
    <t>Data fine anno corrente</t>
  </si>
  <si>
    <t>Data fine anno precedente</t>
  </si>
  <si>
    <t xml:space="preserve">Impostazioni </t>
  </si>
  <si>
    <t>Colora celle inserimento valori (per stampa No)</t>
  </si>
  <si>
    <t>Differenza (deve essere zero)</t>
  </si>
  <si>
    <t>Totale Cassa e Banca più Avanzo/Disavanzo</t>
  </si>
  <si>
    <t>CONTROLLO QUADRATURA</t>
  </si>
  <si>
    <t>Ministero del Lavoro e delle Politiche Sociali</t>
  </si>
  <si>
    <t xml:space="preserve">Costi e proventi figurativi: inserimento facoltativo.   Se non interessa Eliminare le relative righe </t>
  </si>
  <si>
    <t xml:space="preserve">Prima del "controllo di quadratura" aggiungere eventuale data di approvazione e nomi dei dirigenti per la firma </t>
  </si>
  <si>
    <t>Importi in Euro</t>
  </si>
  <si>
    <t>Note / Personalizzazioni</t>
  </si>
  <si>
    <t>Facile da usare (Simile a Excel) e gratuito fino a 70 registrazioni.</t>
  </si>
  <si>
    <t>Copyright Banana.ch SA 2022-2026</t>
  </si>
  <si>
    <t>Personalizzare il foglio come si desidera. Attenzione a non sovrascrivere le celle con le formule</t>
  </si>
  <si>
    <t>Si</t>
  </si>
  <si>
    <t>Ogni ente è obbligato a mantenere una raccolta completa e ordinata dei documenti (fatture, ricevute e altri documenti), conservandoli in modo sistematico e facilmente reperibile.</t>
  </si>
  <si>
    <t>Una raccolta ordinata dei documenti non è però sufficiente, in molti casi è utile fare anche la registrazione cronologica e sistematica dei movimenti.</t>
  </si>
  <si>
    <t>Banana Contabilità</t>
  </si>
  <si>
    <r>
      <rPr>
        <sz val="12"/>
        <color theme="1"/>
        <rFont val="Calibri"/>
        <family val="2"/>
        <scheme val="minor"/>
      </rPr>
      <t>Con Banana Contabilità questo passo</t>
    </r>
    <r>
      <rPr>
        <b/>
        <sz val="12"/>
        <color theme="1"/>
        <rFont val="Calibri"/>
        <family val="2"/>
        <scheme val="minor"/>
      </rPr>
      <t xml:space="preserve"> è molto semplice e veloce:</t>
    </r>
  </si>
  <si>
    <t>Ti permette di fare la registrazione cronologica e sistematica dei movimenti (collegandoli ai documenti), una prima nota.</t>
  </si>
  <si>
    <t>RENDICONTO PER CASSA IN FORMA AGGREGATA</t>
  </si>
  <si>
    <t>In questo modo potrai anche ottenere in automatico il Rendiconto per cassa in forma aggregata e altri rendiconti.</t>
  </si>
  <si>
    <t>https://www.banana.ch/apps/it/it/contabilita-terzo-settore/fino-a-60000</t>
  </si>
  <si>
    <t>https://www.gazzettaufficiale.it/eli/id/2026/03/21/26A01414/SG</t>
  </si>
  <si>
    <t>Rendiconto per Cassa in forma aggregata secondo modello E. (vedi allegato in Gazzetta Ufficiale - Decreto 18 febbraio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</si>
</sst>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yyyy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2" borderId="0" xfId="0" applyFont="1" applyFill="1"/>
    <xf numFmtId="0" fontId="0" fillId="0" borderId="0" xfId="0" applyAlignment="1">
      <alignment horizontal="right"/>
    </xf>
    <xf numFmtId="0" fontId="7" fillId="2" borderId="0" xfId="0" applyFont="1" applyFill="1" applyAlignment="1">
      <alignment wrapText="1"/>
    </xf>
    <xf numFmtId="2" fontId="0" fillId="0" borderId="0" xfId="0" applyNumberFormat="1"/>
    <xf numFmtId="0" fontId="3" fillId="0" borderId="0" xfId="0" applyFont="1" applyAlignment="1">
      <alignment horizontal="right"/>
    </xf>
    <xf numFmtId="2" fontId="3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2" fillId="3" borderId="0" xfId="0" applyFont="1" applyFill="1"/>
    <xf numFmtId="164" fontId="7" fillId="2" borderId="0" xfId="0" applyNumberFormat="1" applyFont="1" applyFill="1" applyAlignment="1">
      <alignment horizontal="right" vertical="top"/>
    </xf>
    <xf numFmtId="164" fontId="7" fillId="2" borderId="0" xfId="0" applyNumberFormat="1" applyFont="1" applyFill="1" applyAlignment="1">
      <alignment horizontal="right"/>
    </xf>
    <xf numFmtId="165" fontId="0" fillId="0" borderId="0" xfId="0" applyNumberFormat="1"/>
    <xf numFmtId="2" fontId="8" fillId="0" borderId="0" xfId="0" applyNumberFormat="1" applyFont="1"/>
    <xf numFmtId="165" fontId="5" fillId="0" borderId="0" xfId="0" applyNumberFormat="1" applyFont="1"/>
    <xf numFmtId="164" fontId="10" fillId="0" borderId="0" xfId="0" applyNumberFormat="1" applyFont="1" applyAlignment="1">
      <alignment horizontal="left" vertical="top"/>
    </xf>
    <xf numFmtId="0" fontId="11" fillId="0" borderId="0" xfId="0" applyFont="1"/>
    <xf numFmtId="0" fontId="3" fillId="0" borderId="0" xfId="0" applyFont="1" applyAlignment="1">
      <alignment horizontal="left"/>
    </xf>
    <xf numFmtId="2" fontId="6" fillId="0" borderId="0" xfId="0" applyNumberFormat="1" applyFont="1"/>
    <xf numFmtId="0" fontId="13" fillId="0" borderId="0" xfId="1" applyFont="1"/>
    <xf numFmtId="0" fontId="14" fillId="0" borderId="0" xfId="1" applyFont="1"/>
    <xf numFmtId="0" fontId="14" fillId="0" borderId="0" xfId="0" applyFont="1"/>
    <xf numFmtId="0" fontId="15" fillId="0" borderId="0" xfId="0" applyFont="1"/>
    <xf numFmtId="0" fontId="10" fillId="0" borderId="0" xfId="1" applyFont="1"/>
    <xf numFmtId="0" fontId="10" fillId="0" borderId="0" xfId="0" applyFont="1"/>
    <xf numFmtId="0" fontId="1" fillId="0" borderId="0" xfId="0" applyFont="1"/>
    <xf numFmtId="0" fontId="12" fillId="0" borderId="0" xfId="1" applyFill="1"/>
    <xf numFmtId="0" fontId="13" fillId="0" borderId="0" xfId="1" applyFont="1" applyFill="1"/>
    <xf numFmtId="0" fontId="0" fillId="0" borderId="0" xfId="0" applyAlignment="1">
      <alignment horizontal="right"/>
    </xf>
    <xf numFmtId="0" fontId="5" fillId="0" borderId="0" xfId="0" applyFont="1"/>
    <xf numFmtId="0" fontId="0" fillId="0" borderId="0" xfId="0"/>
    <xf numFmtId="0" fontId="4" fillId="2" borderId="0" xfId="0" applyFont="1" applyFill="1"/>
    <xf numFmtId="0" fontId="2" fillId="3" borderId="0" xfId="0" applyFont="1" applyFill="1" applyAlignment="1">
      <alignment horizontal="left"/>
    </xf>
    <xf numFmtId="0" fontId="7" fillId="2" borderId="0" xfId="0" applyFont="1" applyFill="1"/>
    <xf numFmtId="0" fontId="12" fillId="0" borderId="0" xfId="1"/>
  </cellXfs>
  <cellStyles count="2">
    <cellStyle name="Collegamento ipertestuale" xfId="1" builtinId="8"/>
    <cellStyle name="Normale" xfId="0" builtinId="0"/>
  </cellStyles>
  <dxfs count="15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azzettaufficiale.it/eli/id/2026/03/21/26A01414/SG" TargetMode="External"/><Relationship Id="rId2" Type="http://schemas.openxmlformats.org/officeDocument/2006/relationships/hyperlink" Target="https://www.banana.ch/it/node/9249" TargetMode="External"/><Relationship Id="rId1" Type="http://schemas.openxmlformats.org/officeDocument/2006/relationships/hyperlink" Target="https://www.banana.ch/apps/it/it/contabilita-terzo-settore/fino-a-6000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1BA8-36CC-4DBE-B6A9-97354061FBEE}">
  <dimension ref="A1:I95"/>
  <sheetViews>
    <sheetView tabSelected="1" zoomScaleNormal="100" workbookViewId="0">
      <selection activeCell="A79" sqref="A79"/>
    </sheetView>
  </sheetViews>
  <sheetFormatPr defaultColWidth="8.81640625" defaultRowHeight="14.75" x14ac:dyDescent="0.75"/>
  <cols>
    <col min="1" max="1" width="45.6796875" customWidth="1"/>
    <col min="2" max="2" width="16.6796875" customWidth="1"/>
    <col min="3" max="3" width="19.81640625" customWidth="1"/>
    <col min="4" max="4" width="6.1796875" customWidth="1"/>
    <col min="5" max="5" width="52.31640625" customWidth="1"/>
    <col min="6" max="6" width="15.1796875" customWidth="1"/>
    <col min="7" max="7" width="14.6796875" customWidth="1"/>
    <col min="8" max="9" width="9.81640625" bestFit="1" customWidth="1"/>
  </cols>
  <sheetData>
    <row r="1" spans="1:7" x14ac:dyDescent="0.75">
      <c r="A1" s="22" t="s">
        <v>44</v>
      </c>
    </row>
    <row r="2" spans="1:7" ht="16" x14ac:dyDescent="0.75">
      <c r="A2" t="s">
        <v>42</v>
      </c>
      <c r="B2" s="20">
        <v>46387</v>
      </c>
    </row>
    <row r="3" spans="1:7" ht="16" x14ac:dyDescent="0.75">
      <c r="A3" t="s">
        <v>43</v>
      </c>
      <c r="B3" s="20">
        <v>46022</v>
      </c>
    </row>
    <row r="4" spans="1:7" x14ac:dyDescent="0.75">
      <c r="A4" t="s">
        <v>45</v>
      </c>
      <c r="B4" s="21" t="s">
        <v>57</v>
      </c>
    </row>
    <row r="7" spans="1:7" s="3" customFormat="1" ht="21" x14ac:dyDescent="1">
      <c r="A7" s="34" t="s">
        <v>38</v>
      </c>
      <c r="B7" s="35"/>
      <c r="C7" s="35"/>
      <c r="D7" s="35"/>
      <c r="E7" s="35"/>
    </row>
    <row r="8" spans="1:7" ht="21" x14ac:dyDescent="1">
      <c r="A8" s="3" t="s">
        <v>63</v>
      </c>
      <c r="C8" s="19">
        <f>B2</f>
        <v>46387</v>
      </c>
    </row>
    <row r="9" spans="1:7" ht="21" x14ac:dyDescent="1">
      <c r="A9" t="s">
        <v>52</v>
      </c>
      <c r="B9" s="19"/>
    </row>
    <row r="10" spans="1:7" x14ac:dyDescent="0.75">
      <c r="B10" s="17"/>
    </row>
    <row r="11" spans="1:7" x14ac:dyDescent="0.75">
      <c r="B11" s="17"/>
    </row>
    <row r="12" spans="1:7" s="5" customFormat="1" ht="16" x14ac:dyDescent="0.8">
      <c r="A12" s="6" t="s">
        <v>6</v>
      </c>
      <c r="B12" s="15">
        <f>B2</f>
        <v>46387</v>
      </c>
      <c r="C12" s="15">
        <f>B3</f>
        <v>46022</v>
      </c>
      <c r="E12" s="6" t="s">
        <v>7</v>
      </c>
      <c r="F12" s="15">
        <f>B2</f>
        <v>46387</v>
      </c>
      <c r="G12" s="15">
        <f>B3</f>
        <v>46022</v>
      </c>
    </row>
    <row r="13" spans="1:7" s="4" customFormat="1" x14ac:dyDescent="0.75">
      <c r="A13" s="4" t="s">
        <v>8</v>
      </c>
      <c r="B13" s="18">
        <v>0</v>
      </c>
      <c r="C13" s="18">
        <v>0</v>
      </c>
      <c r="E13" s="4" t="s">
        <v>9</v>
      </c>
      <c r="F13" s="18">
        <v>0</v>
      </c>
      <c r="G13" s="18">
        <v>0</v>
      </c>
    </row>
    <row r="14" spans="1:7" x14ac:dyDescent="0.75">
      <c r="A14" s="33" t="s">
        <v>10</v>
      </c>
      <c r="B14" s="33"/>
      <c r="C14" s="33"/>
      <c r="D14" s="33"/>
      <c r="E14" s="33"/>
      <c r="F14" s="9">
        <f>F13-B13</f>
        <v>0</v>
      </c>
      <c r="G14" s="9">
        <f>G13-C13</f>
        <v>0</v>
      </c>
    </row>
    <row r="15" spans="1:7" x14ac:dyDescent="0.75">
      <c r="A15" s="7"/>
      <c r="B15" s="7"/>
      <c r="C15" s="7"/>
      <c r="D15" s="7"/>
      <c r="E15" s="7"/>
    </row>
    <row r="16" spans="1:7" x14ac:dyDescent="0.75">
      <c r="A16" s="4" t="s">
        <v>11</v>
      </c>
      <c r="B16" s="18">
        <v>0</v>
      </c>
      <c r="C16" s="18">
        <v>0</v>
      </c>
      <c r="E16" s="4" t="s">
        <v>12</v>
      </c>
      <c r="F16" s="18">
        <v>0</v>
      </c>
      <c r="G16" s="18">
        <v>0</v>
      </c>
    </row>
    <row r="17" spans="1:7" x14ac:dyDescent="0.75">
      <c r="A17" s="33" t="s">
        <v>13</v>
      </c>
      <c r="B17" s="33"/>
      <c r="C17" s="33"/>
      <c r="D17" s="33"/>
      <c r="E17" s="33"/>
      <c r="F17" s="9">
        <f>F16-B16</f>
        <v>0</v>
      </c>
      <c r="G17" s="9">
        <f>G16-C16</f>
        <v>0</v>
      </c>
    </row>
    <row r="18" spans="1:7" x14ac:dyDescent="0.75">
      <c r="A18" s="7"/>
      <c r="B18" s="7"/>
      <c r="C18" s="7"/>
      <c r="D18" s="7"/>
      <c r="E18" s="7"/>
    </row>
    <row r="19" spans="1:7" x14ac:dyDescent="0.75">
      <c r="A19" s="4" t="s">
        <v>14</v>
      </c>
      <c r="B19" s="18">
        <v>0</v>
      </c>
      <c r="C19" s="18">
        <v>0</v>
      </c>
      <c r="E19" s="4" t="s">
        <v>15</v>
      </c>
      <c r="F19" s="18">
        <v>0</v>
      </c>
      <c r="G19" s="18">
        <v>0</v>
      </c>
    </row>
    <row r="20" spans="1:7" x14ac:dyDescent="0.75">
      <c r="A20" s="33" t="s">
        <v>16</v>
      </c>
      <c r="B20" s="33"/>
      <c r="C20" s="33"/>
      <c r="D20" s="33"/>
      <c r="E20" s="33"/>
      <c r="F20" s="9">
        <f>F19-B19</f>
        <v>0</v>
      </c>
      <c r="G20" s="9">
        <f>G19-C19</f>
        <v>0</v>
      </c>
    </row>
    <row r="21" spans="1:7" x14ac:dyDescent="0.75">
      <c r="A21" s="7"/>
      <c r="B21" s="7"/>
      <c r="C21" s="7"/>
      <c r="D21" s="7"/>
      <c r="E21" s="7"/>
    </row>
    <row r="22" spans="1:7" x14ac:dyDescent="0.75">
      <c r="A22" s="4" t="s">
        <v>17</v>
      </c>
      <c r="B22" s="18">
        <v>0</v>
      </c>
      <c r="C22" s="18">
        <v>0</v>
      </c>
      <c r="E22" s="4" t="s">
        <v>18</v>
      </c>
      <c r="F22" s="18">
        <v>0</v>
      </c>
      <c r="G22" s="18">
        <v>0</v>
      </c>
    </row>
    <row r="23" spans="1:7" x14ac:dyDescent="0.75">
      <c r="A23" s="33" t="s">
        <v>19</v>
      </c>
      <c r="B23" s="33"/>
      <c r="C23" s="33"/>
      <c r="D23" s="33"/>
      <c r="E23" s="33"/>
      <c r="F23" s="9">
        <f>F22-B22</f>
        <v>0</v>
      </c>
      <c r="G23" s="9">
        <f>G22-C22</f>
        <v>0</v>
      </c>
    </row>
    <row r="25" spans="1:7" x14ac:dyDescent="0.75">
      <c r="A25" s="4" t="s">
        <v>20</v>
      </c>
      <c r="B25" s="18">
        <v>0</v>
      </c>
      <c r="C25" s="18">
        <v>0</v>
      </c>
      <c r="E25" s="4" t="s">
        <v>21</v>
      </c>
      <c r="F25" s="18">
        <v>0</v>
      </c>
      <c r="G25" s="18">
        <v>0</v>
      </c>
    </row>
    <row r="26" spans="1:7" x14ac:dyDescent="0.75">
      <c r="A26" s="7"/>
      <c r="E26" s="7"/>
    </row>
    <row r="27" spans="1:7" x14ac:dyDescent="0.75">
      <c r="A27" s="4" t="s">
        <v>22</v>
      </c>
      <c r="B27" s="11">
        <f>B13+B16+B19+B22+B25</f>
        <v>0</v>
      </c>
      <c r="C27" s="11">
        <f>C13+C16+C19+C22+C25</f>
        <v>0</v>
      </c>
      <c r="E27" s="4" t="s">
        <v>33</v>
      </c>
      <c r="F27" s="11">
        <f>F13+F16+F19+F22+F25</f>
        <v>0</v>
      </c>
      <c r="G27" s="11">
        <f>G13+G16+G19+G22+G25</f>
        <v>0</v>
      </c>
    </row>
    <row r="28" spans="1:7" x14ac:dyDescent="0.75">
      <c r="A28" s="33" t="s">
        <v>23</v>
      </c>
      <c r="B28" s="33"/>
      <c r="C28" s="33"/>
      <c r="D28" s="33"/>
      <c r="E28" s="33"/>
      <c r="F28" s="9">
        <f>F27-B27</f>
        <v>0</v>
      </c>
      <c r="G28" s="9">
        <f>G27-C27</f>
        <v>0</v>
      </c>
    </row>
    <row r="29" spans="1:7" x14ac:dyDescent="0.75">
      <c r="A29" s="33" t="s">
        <v>24</v>
      </c>
      <c r="B29" s="33"/>
      <c r="C29" s="33"/>
      <c r="D29" s="33"/>
      <c r="E29" s="33"/>
      <c r="F29" s="9">
        <v>0</v>
      </c>
      <c r="G29" s="9">
        <v>0</v>
      </c>
    </row>
    <row r="30" spans="1:7" x14ac:dyDescent="0.75">
      <c r="A30" s="33" t="s">
        <v>25</v>
      </c>
      <c r="B30" s="33"/>
      <c r="C30" s="33"/>
      <c r="D30" s="33"/>
      <c r="E30" s="33"/>
      <c r="F30" s="9">
        <f>F28-F29</f>
        <v>0</v>
      </c>
      <c r="G30" s="9">
        <f>G28-G29</f>
        <v>0</v>
      </c>
    </row>
    <row r="31" spans="1:7" x14ac:dyDescent="0.75">
      <c r="A31" s="7"/>
      <c r="B31" s="7"/>
      <c r="C31" s="7"/>
      <c r="D31" s="7"/>
      <c r="E31" s="7"/>
    </row>
    <row r="32" spans="1:7" x14ac:dyDescent="0.75">
      <c r="A32" t="s">
        <v>0</v>
      </c>
    </row>
    <row r="33" spans="1:7" ht="32" x14ac:dyDescent="0.8">
      <c r="A33" s="8" t="s">
        <v>26</v>
      </c>
      <c r="B33" s="15">
        <f>B12</f>
        <v>46387</v>
      </c>
      <c r="C33" s="15">
        <f>C12</f>
        <v>46022</v>
      </c>
      <c r="D33" s="5"/>
      <c r="E33" s="8" t="s">
        <v>27</v>
      </c>
      <c r="F33" s="15">
        <f>B12</f>
        <v>46387</v>
      </c>
      <c r="G33" s="15">
        <f>C12</f>
        <v>46022</v>
      </c>
    </row>
    <row r="34" spans="1:7" x14ac:dyDescent="0.75">
      <c r="A34" s="10"/>
      <c r="B34" s="18">
        <v>0</v>
      </c>
      <c r="C34" s="18">
        <v>0</v>
      </c>
      <c r="D34" s="4"/>
      <c r="E34" s="10"/>
      <c r="F34" s="18">
        <v>0</v>
      </c>
      <c r="G34" s="18">
        <v>0</v>
      </c>
    </row>
    <row r="35" spans="1:7" x14ac:dyDescent="0.75">
      <c r="A35" s="33" t="s">
        <v>24</v>
      </c>
      <c r="B35" s="33"/>
      <c r="C35" s="33"/>
      <c r="D35" s="33"/>
      <c r="E35" s="33"/>
      <c r="F35" s="9">
        <v>0</v>
      </c>
      <c r="G35" s="9">
        <v>0</v>
      </c>
    </row>
    <row r="36" spans="1:7" x14ac:dyDescent="0.75">
      <c r="A36" s="33" t="s">
        <v>28</v>
      </c>
      <c r="B36" s="33"/>
      <c r="C36" s="33"/>
      <c r="D36" s="33"/>
      <c r="E36" s="33"/>
      <c r="F36" s="9">
        <f>F34-B34</f>
        <v>0</v>
      </c>
      <c r="G36" s="9">
        <f>G34-C34</f>
        <v>0</v>
      </c>
    </row>
    <row r="37" spans="1:7" x14ac:dyDescent="0.75">
      <c r="A37" s="7"/>
      <c r="B37" s="7"/>
      <c r="C37" s="7"/>
      <c r="D37" s="7"/>
      <c r="E37" s="7"/>
    </row>
    <row r="38" spans="1:7" x14ac:dyDescent="0.75">
      <c r="A38" t="s">
        <v>0</v>
      </c>
    </row>
    <row r="39" spans="1:7" s="2" customFormat="1" ht="16" x14ac:dyDescent="0.8">
      <c r="A39" s="36"/>
      <c r="B39" s="36"/>
      <c r="C39" s="36"/>
      <c r="D39" s="36"/>
      <c r="E39" s="36"/>
      <c r="F39" s="16">
        <f>B12</f>
        <v>46387</v>
      </c>
      <c r="G39" s="16">
        <f>C12</f>
        <v>46022</v>
      </c>
    </row>
    <row r="40" spans="1:7" x14ac:dyDescent="0.75">
      <c r="A40" s="33" t="s">
        <v>25</v>
      </c>
      <c r="B40" s="33"/>
      <c r="C40" s="33"/>
      <c r="D40" s="33"/>
      <c r="E40" s="33"/>
      <c r="F40" s="9">
        <f>F30</f>
        <v>0</v>
      </c>
      <c r="G40" s="9">
        <f>G30</f>
        <v>0</v>
      </c>
    </row>
    <row r="41" spans="1:7" x14ac:dyDescent="0.75">
      <c r="A41" s="33" t="s">
        <v>28</v>
      </c>
      <c r="B41" s="33"/>
      <c r="C41" s="33"/>
      <c r="D41" s="33"/>
      <c r="E41" s="33"/>
      <c r="F41" s="9">
        <f>F36</f>
        <v>0</v>
      </c>
      <c r="G41" s="9">
        <f>G36</f>
        <v>0</v>
      </c>
    </row>
    <row r="42" spans="1:7" x14ac:dyDescent="0.75">
      <c r="A42" s="33" t="s">
        <v>29</v>
      </c>
      <c r="B42" s="33"/>
      <c r="C42" s="33"/>
      <c r="D42" s="33"/>
      <c r="E42" s="33"/>
      <c r="F42" s="9">
        <f>F40+F41-F35</f>
        <v>0</v>
      </c>
      <c r="G42" s="9">
        <f>G40+G41-G35</f>
        <v>0</v>
      </c>
    </row>
    <row r="43" spans="1:7" x14ac:dyDescent="0.75">
      <c r="A43" t="s">
        <v>0</v>
      </c>
    </row>
    <row r="45" spans="1:7" ht="16" x14ac:dyDescent="0.8">
      <c r="A45" s="38" t="s">
        <v>30</v>
      </c>
      <c r="B45" s="38"/>
      <c r="C45" s="38"/>
      <c r="D45" s="38"/>
      <c r="E45" s="38"/>
      <c r="F45" s="16">
        <f>B12</f>
        <v>46387</v>
      </c>
      <c r="G45" s="16">
        <f>C12</f>
        <v>46022</v>
      </c>
    </row>
    <row r="46" spans="1:7" x14ac:dyDescent="0.75">
      <c r="A46" s="35" t="s">
        <v>31</v>
      </c>
      <c r="B46" s="35"/>
      <c r="C46" s="35"/>
      <c r="D46" s="35"/>
      <c r="E46" s="35"/>
      <c r="F46" s="18">
        <v>0</v>
      </c>
      <c r="G46" s="18">
        <v>0</v>
      </c>
    </row>
    <row r="47" spans="1:7" x14ac:dyDescent="0.75">
      <c r="A47" s="35" t="s">
        <v>32</v>
      </c>
      <c r="B47" s="35"/>
      <c r="C47" s="35"/>
      <c r="D47" s="35"/>
      <c r="E47" s="35"/>
      <c r="F47" s="18">
        <v>0</v>
      </c>
      <c r="G47" s="18">
        <v>0</v>
      </c>
    </row>
    <row r="50" spans="1:9" ht="16" x14ac:dyDescent="0.8">
      <c r="A50" s="6" t="s">
        <v>1</v>
      </c>
      <c r="B50" s="16">
        <f>B12</f>
        <v>46387</v>
      </c>
      <c r="C50" s="16">
        <f>C12</f>
        <v>46022</v>
      </c>
      <c r="E50" s="6" t="s">
        <v>2</v>
      </c>
      <c r="F50" s="16">
        <f>B12</f>
        <v>46387</v>
      </c>
      <c r="G50" s="16">
        <f>C12</f>
        <v>46022</v>
      </c>
    </row>
    <row r="51" spans="1:9" x14ac:dyDescent="0.75">
      <c r="A51" t="s">
        <v>3</v>
      </c>
      <c r="B51" s="9">
        <v>0</v>
      </c>
      <c r="C51" s="9">
        <v>0</v>
      </c>
      <c r="E51" t="s">
        <v>3</v>
      </c>
      <c r="F51" s="9">
        <v>0</v>
      </c>
      <c r="G51" s="9">
        <v>0</v>
      </c>
    </row>
    <row r="52" spans="1:9" x14ac:dyDescent="0.75">
      <c r="A52" t="s">
        <v>4</v>
      </c>
      <c r="B52" s="9">
        <v>0</v>
      </c>
      <c r="C52" s="9">
        <v>0</v>
      </c>
      <c r="E52" t="s">
        <v>4</v>
      </c>
      <c r="F52" s="9">
        <v>0</v>
      </c>
      <c r="G52" s="9">
        <v>0</v>
      </c>
    </row>
    <row r="53" spans="1:9" x14ac:dyDescent="0.75">
      <c r="A53" s="10" t="s">
        <v>5</v>
      </c>
      <c r="B53" s="11">
        <f>SUM(B51:B52)</f>
        <v>0</v>
      </c>
      <c r="C53" s="11">
        <f>SUM(C51:C52)</f>
        <v>0</v>
      </c>
      <c r="D53" s="4"/>
      <c r="E53" s="10" t="s">
        <v>5</v>
      </c>
      <c r="F53" s="11">
        <f>SUM(F51:F52)</f>
        <v>0</v>
      </c>
      <c r="G53" s="11">
        <f>SUM(G51:G52)</f>
        <v>0</v>
      </c>
    </row>
    <row r="54" spans="1:9" x14ac:dyDescent="0.75">
      <c r="A54" s="10"/>
      <c r="B54" s="11"/>
      <c r="C54" s="11"/>
      <c r="D54" s="4"/>
      <c r="E54" s="10"/>
      <c r="F54" s="11"/>
      <c r="G54" s="11"/>
    </row>
    <row r="55" spans="1:9" x14ac:dyDescent="0.75">
      <c r="A55" s="10"/>
      <c r="B55" s="11"/>
      <c r="C55" s="11"/>
      <c r="D55" s="4"/>
      <c r="E55" s="10"/>
      <c r="F55" s="11"/>
      <c r="G55" s="11"/>
    </row>
    <row r="58" spans="1:9" x14ac:dyDescent="0.75">
      <c r="C58" s="1"/>
      <c r="D58" s="1"/>
      <c r="H58" s="1"/>
      <c r="I58" s="1"/>
    </row>
    <row r="60" spans="1:9" ht="16" customHeight="1" x14ac:dyDescent="0.8">
      <c r="A60" s="5" t="s">
        <v>48</v>
      </c>
      <c r="B60" s="5"/>
    </row>
    <row r="61" spans="1:9" ht="16" customHeight="1" x14ac:dyDescent="0.8">
      <c r="A61" s="12" t="s">
        <v>34</v>
      </c>
      <c r="B61" s="13">
        <f>G46+G47</f>
        <v>0</v>
      </c>
    </row>
    <row r="62" spans="1:9" ht="16" customHeight="1" x14ac:dyDescent="0.8">
      <c r="A62" s="12" t="s">
        <v>35</v>
      </c>
      <c r="B62" s="13">
        <f>F42</f>
        <v>0</v>
      </c>
    </row>
    <row r="63" spans="1:9" ht="16" customHeight="1" x14ac:dyDescent="0.8">
      <c r="A63" s="5" t="s">
        <v>47</v>
      </c>
      <c r="B63" s="23">
        <f>SUM(B61:B62)</f>
        <v>0</v>
      </c>
    </row>
    <row r="64" spans="1:9" ht="16" customHeight="1" x14ac:dyDescent="0.8">
      <c r="A64" s="12" t="s">
        <v>36</v>
      </c>
      <c r="B64" s="13">
        <f>F46+F47</f>
        <v>0</v>
      </c>
    </row>
    <row r="65" spans="1:7" ht="16" customHeight="1" x14ac:dyDescent="0.8">
      <c r="A65" s="5" t="s">
        <v>46</v>
      </c>
      <c r="B65" s="23">
        <f>B63-B64</f>
        <v>0</v>
      </c>
    </row>
    <row r="66" spans="1:7" ht="16" customHeight="1" x14ac:dyDescent="0.8">
      <c r="A66" s="14" t="s">
        <v>37</v>
      </c>
      <c r="B66" s="37" t="str">
        <f>IF(B65=0,"Quadratura OK","Errore quadratura")</f>
        <v>Quadratura OK</v>
      </c>
      <c r="C66" s="37"/>
      <c r="D66" s="12"/>
      <c r="E66" s="12"/>
      <c r="F66" s="12"/>
      <c r="G66" s="12"/>
    </row>
    <row r="69" spans="1:7" ht="16" x14ac:dyDescent="0.8">
      <c r="A69" s="5" t="s">
        <v>53</v>
      </c>
      <c r="B69" s="12"/>
    </row>
    <row r="70" spans="1:7" ht="16" x14ac:dyDescent="0.8">
      <c r="A70" s="12" t="s">
        <v>56</v>
      </c>
      <c r="B70" s="12"/>
    </row>
    <row r="71" spans="1:7" ht="16" x14ac:dyDescent="0.8">
      <c r="A71" s="12" t="s">
        <v>50</v>
      </c>
      <c r="B71" s="12"/>
    </row>
    <row r="72" spans="1:7" ht="16" x14ac:dyDescent="0.8">
      <c r="A72" s="12" t="s">
        <v>51</v>
      </c>
      <c r="B72" s="12"/>
    </row>
    <row r="73" spans="1:7" ht="16" x14ac:dyDescent="0.8">
      <c r="B73" s="12"/>
    </row>
    <row r="74" spans="1:7" ht="16" x14ac:dyDescent="0.8">
      <c r="A74" s="12"/>
      <c r="B74" s="12"/>
    </row>
    <row r="75" spans="1:7" ht="16" x14ac:dyDescent="0.8">
      <c r="A75" s="30" t="s">
        <v>67</v>
      </c>
      <c r="B75" s="12"/>
    </row>
    <row r="76" spans="1:7" ht="16" x14ac:dyDescent="0.8">
      <c r="A76" s="12" t="s">
        <v>49</v>
      </c>
      <c r="B76" s="12"/>
    </row>
    <row r="77" spans="1:7" ht="16" x14ac:dyDescent="0.8">
      <c r="A77" s="31" t="s">
        <v>66</v>
      </c>
      <c r="B77" s="12"/>
    </row>
    <row r="78" spans="1:7" ht="16" x14ac:dyDescent="0.8">
      <c r="A78" s="32"/>
      <c r="B78" s="12"/>
    </row>
    <row r="79" spans="1:7" ht="16" x14ac:dyDescent="0.8">
      <c r="A79" s="24"/>
      <c r="B79" s="12"/>
    </row>
    <row r="80" spans="1:7" ht="16" x14ac:dyDescent="0.8">
      <c r="A80" s="24"/>
      <c r="B80" s="12"/>
    </row>
    <row r="81" spans="1:2" s="21" customFormat="1" ht="16" x14ac:dyDescent="0.8">
      <c r="A81" s="28" t="s">
        <v>60</v>
      </c>
      <c r="B81" s="29"/>
    </row>
    <row r="82" spans="1:2" s="27" customFormat="1" ht="16" x14ac:dyDescent="0.8">
      <c r="A82" s="25" t="s">
        <v>58</v>
      </c>
      <c r="B82" s="26"/>
    </row>
    <row r="83" spans="1:2" s="27" customFormat="1" ht="16" x14ac:dyDescent="0.8">
      <c r="A83" s="25" t="s">
        <v>59</v>
      </c>
      <c r="B83" s="26"/>
    </row>
    <row r="84" spans="1:2" ht="16" x14ac:dyDescent="0.8">
      <c r="A84" s="5" t="s">
        <v>61</v>
      </c>
      <c r="B84" s="12"/>
    </row>
    <row r="85" spans="1:2" ht="16" x14ac:dyDescent="0.8">
      <c r="A85" s="12" t="s">
        <v>62</v>
      </c>
      <c r="B85" s="12"/>
    </row>
    <row r="86" spans="1:2" ht="16" x14ac:dyDescent="0.8">
      <c r="A86" s="30" t="s">
        <v>64</v>
      </c>
      <c r="B86" s="12"/>
    </row>
    <row r="87" spans="1:2" ht="16" x14ac:dyDescent="0.8">
      <c r="A87" s="12" t="s">
        <v>54</v>
      </c>
      <c r="B87" s="12"/>
    </row>
    <row r="88" spans="1:2" ht="16" x14ac:dyDescent="0.8">
      <c r="A88" s="12" t="s">
        <v>39</v>
      </c>
      <c r="B88" s="12"/>
    </row>
    <row r="89" spans="1:2" ht="16" x14ac:dyDescent="0.8">
      <c r="A89" s="39" t="s">
        <v>65</v>
      </c>
      <c r="B89" s="12"/>
    </row>
    <row r="90" spans="1:2" ht="16" x14ac:dyDescent="0.8">
      <c r="A90" s="12"/>
      <c r="B90" s="12"/>
    </row>
    <row r="91" spans="1:2" ht="16" x14ac:dyDescent="0.8">
      <c r="A91" s="12" t="s">
        <v>40</v>
      </c>
      <c r="B91" s="12"/>
    </row>
    <row r="92" spans="1:2" ht="16" x14ac:dyDescent="0.8">
      <c r="A92" s="24" t="s">
        <v>41</v>
      </c>
      <c r="B92" s="12"/>
    </row>
    <row r="93" spans="1:2" ht="16" x14ac:dyDescent="0.8">
      <c r="A93" s="12"/>
      <c r="B93" s="12"/>
    </row>
    <row r="94" spans="1:2" ht="16" x14ac:dyDescent="0.8">
      <c r="A94" s="12"/>
      <c r="B94" s="12"/>
    </row>
    <row r="95" spans="1:2" ht="16" x14ac:dyDescent="0.8">
      <c r="A95" s="12" t="s">
        <v>55</v>
      </c>
      <c r="B95" s="12"/>
    </row>
  </sheetData>
  <mergeCells count="18">
    <mergeCell ref="B66:C66"/>
    <mergeCell ref="A41:E41"/>
    <mergeCell ref="A42:E42"/>
    <mergeCell ref="A45:E45"/>
    <mergeCell ref="A46:E46"/>
    <mergeCell ref="A47:E47"/>
    <mergeCell ref="A40:E40"/>
    <mergeCell ref="A7:E7"/>
    <mergeCell ref="A14:E14"/>
    <mergeCell ref="A17:E17"/>
    <mergeCell ref="A20:E20"/>
    <mergeCell ref="A23:E23"/>
    <mergeCell ref="A28:E28"/>
    <mergeCell ref="A29:E29"/>
    <mergeCell ref="A30:E30"/>
    <mergeCell ref="A35:E35"/>
    <mergeCell ref="A36:E36"/>
    <mergeCell ref="A39:E39"/>
  </mergeCells>
  <phoneticPr fontId="9" type="noConversion"/>
  <conditionalFormatting sqref="A66:C66">
    <cfRule type="expression" dxfId="14" priority="13">
      <formula>$B$66="Quadratura OK"</formula>
    </cfRule>
    <cfRule type="expression" dxfId="13" priority="14">
      <formula>$B$66="Errore quadratura"</formula>
    </cfRule>
  </conditionalFormatting>
  <conditionalFormatting sqref="B13:C13">
    <cfRule type="expression" dxfId="12" priority="12">
      <formula>UPPER(TRIM($B$4))="SI"</formula>
    </cfRule>
  </conditionalFormatting>
  <conditionalFormatting sqref="B16:C16">
    <cfRule type="expression" dxfId="11" priority="10">
      <formula>UPPER(TRIM($B$4))="SI"</formula>
    </cfRule>
  </conditionalFormatting>
  <conditionalFormatting sqref="B19:C19">
    <cfRule type="expression" dxfId="10" priority="8">
      <formula>UPPER(TRIM($B$4))="SI"</formula>
    </cfRule>
  </conditionalFormatting>
  <conditionalFormatting sqref="B22:C22">
    <cfRule type="expression" dxfId="9" priority="6">
      <formula>UPPER(TRIM($B$4))="SI"</formula>
    </cfRule>
  </conditionalFormatting>
  <conditionalFormatting sqref="B25:C25">
    <cfRule type="expression" dxfId="8" priority="4">
      <formula>UPPER(TRIM($B$4))="SI"</formula>
    </cfRule>
  </conditionalFormatting>
  <conditionalFormatting sqref="B34:C34">
    <cfRule type="expression" dxfId="7" priority="2">
      <formula>UPPER(TRIM($B$4))="SI"</formula>
    </cfRule>
  </conditionalFormatting>
  <conditionalFormatting sqref="F13:G13">
    <cfRule type="expression" dxfId="6" priority="11">
      <formula>UPPER(TRIM($B$4))="SI"</formula>
    </cfRule>
  </conditionalFormatting>
  <conditionalFormatting sqref="F16:G16">
    <cfRule type="expression" dxfId="5" priority="9">
      <formula>UPPER(TRIM($B$4))="SI"</formula>
    </cfRule>
  </conditionalFormatting>
  <conditionalFormatting sqref="F19:G19">
    <cfRule type="expression" dxfId="4" priority="7">
      <formula>UPPER(TRIM($B$4))="SI"</formula>
    </cfRule>
  </conditionalFormatting>
  <conditionalFormatting sqref="F22:G22">
    <cfRule type="expression" dxfId="3" priority="5">
      <formula>UPPER(TRIM($B$4))="SI"</formula>
    </cfRule>
  </conditionalFormatting>
  <conditionalFormatting sqref="F25:G25">
    <cfRule type="expression" dxfId="2" priority="3">
      <formula>UPPER(TRIM($B$4))="SI"</formula>
    </cfRule>
  </conditionalFormatting>
  <conditionalFormatting sqref="F29:G29 F40:G42 F46:G47 B51:C52 F51:G52">
    <cfRule type="expression" dxfId="1" priority="16">
      <formula>UPPER(TRIM($B$4))="SI"</formula>
    </cfRule>
  </conditionalFormatting>
  <conditionalFormatting sqref="F34:G35">
    <cfRule type="expression" dxfId="0" priority="1">
      <formula>UPPER(TRIM($B$4))="SI"</formula>
    </cfRule>
  </conditionalFormatting>
  <dataValidations count="1">
    <dataValidation type="list" showInputMessage="1" showErrorMessage="1" sqref="B4" xr:uid="{79B1FB1E-D2E6-4372-8C9B-16A9C050BFAD}">
      <formula1>"Si,No"</formula1>
    </dataValidation>
  </dataValidations>
  <hyperlinks>
    <hyperlink ref="A89" r:id="rId1" xr:uid="{A59A2887-F854-9A4D-8B4D-BE6E12243749}"/>
    <hyperlink ref="A92" r:id="rId2" tooltip="https://www.banana.ch/it/node/9249" xr:uid="{B43AA590-682D-AE46-850F-5944AE67B430}"/>
    <hyperlink ref="A77" r:id="rId3" xr:uid="{51DF4F3F-9D11-47B1-976E-3917A235F90E}"/>
  </hyperlinks>
  <pageMargins left="0.70866141732283472" right="0.70866141732283472" top="0.74803149606299213" bottom="0.74803149606299213" header="0" footer="0.31496062992125984"/>
  <pageSetup paperSize="9" scale="51" fitToWidth="0" fitToHeight="0" orientation="portrait" r:id="rId4"/>
  <rowBreaks count="1" manualBreakCount="1">
    <brk id="59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Mercurio</dc:creator>
  <cp:lastModifiedBy>Michael Mercurio</cp:lastModifiedBy>
  <cp:lastPrinted>2026-02-16T08:55:34Z</cp:lastPrinted>
  <dcterms:created xsi:type="dcterms:W3CDTF">2021-12-14T12:48:37Z</dcterms:created>
  <dcterms:modified xsi:type="dcterms:W3CDTF">2026-04-17T13:33:47Z</dcterms:modified>
</cp:coreProperties>
</file>