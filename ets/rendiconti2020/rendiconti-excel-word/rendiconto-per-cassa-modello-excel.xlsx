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chael.mercurio\Documents\GitHub\Italia\ets\rendiconti2020\rendiconti-excel-word\"/>
    </mc:Choice>
  </mc:AlternateContent>
  <xr:revisionPtr revIDLastSave="0" documentId="13_ncr:1_{6E84D28D-9E7D-47FC-A5E1-FC4FB1F37430}" xr6:coauthVersionLast="47" xr6:coauthVersionMax="47" xr10:uidLastSave="{00000000-0000-0000-0000-000000000000}"/>
  <bookViews>
    <workbookView xWindow="57480" yWindow="-120" windowWidth="29040" windowHeight="15720" xr2:uid="{FF94FDBB-7E1C-4349-A12A-5CA933A991FE}"/>
  </bookViews>
  <sheets>
    <sheet name="Foglio1" sheetId="1" r:id="rId1"/>
  </sheets>
  <definedNames>
    <definedName name="_xlnm.Print_Area" localSheetId="0">Foglio1!$A$7:$G$133</definedName>
    <definedName name="FormatoStampa">Foglio1!#REF!</definedName>
    <definedName name="ZonaInserimento">Foglio1!$B$14:$C$18,Foglio1!$B$28:$C$32,Foglio1!$B$38:$C$40,Foglio1!$B$45:$C$49,Foglio1!$B$54:$C$58,Foglio1!$B$68:$C$71,Foglio1!$F$14:$G$23,Foglio1!$F$28:$G$33,Foglio1!$F$38:$G$40,Foglio1!$F$45:$G$49,Foglio1!$F$54:$G$55,Foglio1!$F$63:$G$63,Foglio1!$F$68:$G$71,Foglio1!$F$73:$G$73,Foglio1!$F$84:$G$85,Foglio1!$F$89:$G$90,Foglio1!$B$89:$C$90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1" i="1" l="1"/>
  <c r="C91" i="1"/>
  <c r="F91" i="1"/>
  <c r="G91" i="1"/>
  <c r="G12" i="1"/>
  <c r="C12" i="1"/>
  <c r="C88" i="1" s="1"/>
  <c r="F12" i="1"/>
  <c r="B12" i="1"/>
  <c r="F88" i="1" s="1"/>
  <c r="B88" i="1" l="1"/>
  <c r="G88" i="1"/>
  <c r="B8" i="1"/>
  <c r="F24" i="1"/>
  <c r="G24" i="1"/>
  <c r="F34" i="1"/>
  <c r="G34" i="1"/>
  <c r="F41" i="1"/>
  <c r="G41" i="1"/>
  <c r="F50" i="1"/>
  <c r="G50" i="1"/>
  <c r="F59" i="1"/>
  <c r="G59" i="1"/>
  <c r="F67" i="1"/>
  <c r="F72" i="1"/>
  <c r="G72" i="1"/>
  <c r="F77" i="1"/>
  <c r="F83" i="1"/>
  <c r="B99" i="1"/>
  <c r="B102" i="1"/>
  <c r="B67" i="1"/>
  <c r="C72" i="1"/>
  <c r="B72" i="1"/>
  <c r="C59" i="1"/>
  <c r="B59" i="1"/>
  <c r="C50" i="1"/>
  <c r="B50" i="1"/>
  <c r="C41" i="1"/>
  <c r="B41" i="1"/>
  <c r="C34" i="1"/>
  <c r="B34" i="1"/>
  <c r="C24" i="1"/>
  <c r="B24" i="1"/>
  <c r="G74" i="1" l="1"/>
  <c r="G79" i="1" s="1"/>
  <c r="F51" i="1"/>
  <c r="G51" i="1"/>
  <c r="G42" i="1"/>
  <c r="G67" i="1"/>
  <c r="C67" i="1"/>
  <c r="G83" i="1"/>
  <c r="G77" i="1"/>
  <c r="G25" i="1"/>
  <c r="F35" i="1"/>
  <c r="F25" i="1"/>
  <c r="F42" i="1"/>
  <c r="F74" i="1"/>
  <c r="F79" i="1" s="1"/>
  <c r="F61" i="1"/>
  <c r="G35" i="1"/>
  <c r="G61" i="1"/>
  <c r="B61" i="1"/>
  <c r="C61" i="1"/>
  <c r="F62" i="1" l="1"/>
  <c r="F64" i="1" s="1"/>
  <c r="F78" i="1" s="1"/>
  <c r="F80" i="1" s="1"/>
  <c r="B100" i="1" s="1"/>
  <c r="B101" i="1" s="1"/>
  <c r="B103" i="1" s="1"/>
  <c r="B104" i="1" s="1"/>
  <c r="G62" i="1"/>
  <c r="G64" i="1" s="1"/>
  <c r="G78" i="1" s="1"/>
  <c r="G80" i="1" s="1"/>
</calcChain>
</file>

<file path=xl/sharedStrings.xml><?xml version="1.0" encoding="utf-8"?>
<sst xmlns="http://schemas.openxmlformats.org/spreadsheetml/2006/main" count="146" uniqueCount="116">
  <si>
    <t xml:space="preserve"> </t>
  </si>
  <si>
    <t>Costi figurativi</t>
  </si>
  <si>
    <t>Proventi figurativi</t>
  </si>
  <si>
    <t>1) da attività di interesse generale</t>
  </si>
  <si>
    <t>2) da attività diverse</t>
  </si>
  <si>
    <t>Totale</t>
  </si>
  <si>
    <t>USCITE</t>
  </si>
  <si>
    <t>ENTRATE</t>
  </si>
  <si>
    <t>A) Uscite da attività di interesse generale</t>
  </si>
  <si>
    <t>A) Entrate da attività di interesse generale</t>
  </si>
  <si>
    <t>1) Materie prime, sussidiarie, di consumo e di merci</t>
  </si>
  <si>
    <t>1) Entrate da quote associative e apporti dei fondatori</t>
  </si>
  <si>
    <t>2) Servizi</t>
  </si>
  <si>
    <t>2) Entrate dagli associati per attività mutuali</t>
  </si>
  <si>
    <t>3) Godimento beni di terzi</t>
  </si>
  <si>
    <t>3) Entrate per prestazioni e cessioni ad associati e fondatori</t>
  </si>
  <si>
    <t>4) Personale</t>
  </si>
  <si>
    <t>4) Erogazioni liberali</t>
  </si>
  <si>
    <t>5) Uscite diverse di gestione</t>
  </si>
  <si>
    <t>5) Entrate del 5 per mille</t>
  </si>
  <si>
    <t>6) Contributi da soggetti privati</t>
  </si>
  <si>
    <t>7) Entrate per prestazioni e cessioni a terzi</t>
  </si>
  <si>
    <t>8) Contributi da enti pubblici</t>
  </si>
  <si>
    <t>9) Entrate da contratti con enti pubblici</t>
  </si>
  <si>
    <t>10) Altre entrate</t>
  </si>
  <si>
    <t>Avanzo/disavanzo attività di interesse generale (+/-)</t>
  </si>
  <si>
    <t>B) Uscite da attività diverse</t>
  </si>
  <si>
    <t>B) Entrate da attività diverse</t>
  </si>
  <si>
    <t>1) Entrate per prestazioni e cessioni ad associati e fondatori</t>
  </si>
  <si>
    <t>2) Contributi da soggetti privati</t>
  </si>
  <si>
    <t>3) Entrate per prestazioni e cessioni a terzi</t>
  </si>
  <si>
    <t>4) Contributi da enti pubblici</t>
  </si>
  <si>
    <t>5) Entrate da contratti con enti pubblici</t>
  </si>
  <si>
    <t>6) Altre entrate</t>
  </si>
  <si>
    <t>Avanzo/disavanzo attività diverse (+/-)</t>
  </si>
  <si>
    <t>C) Uscite da attività di raccolta fondi</t>
  </si>
  <si>
    <t>C) Entrate da attività di raccolta fondi</t>
  </si>
  <si>
    <t>1) Uscite per raccolte fondi abituali</t>
  </si>
  <si>
    <t>1) Entrate da raccolte fondi abituali</t>
  </si>
  <si>
    <t>2) Uscite per raccolte fondi occasionali</t>
  </si>
  <si>
    <t>2) Entrate da raccolte fondi occasionali</t>
  </si>
  <si>
    <t>3) Altre uscite</t>
  </si>
  <si>
    <t>3) Altre entrate</t>
  </si>
  <si>
    <t>Avanzo/disavanzo attività di raccolta fondi (+/-)</t>
  </si>
  <si>
    <t>D) Uscite da attività finanziarie e patrimoniali</t>
  </si>
  <si>
    <t>D) Entrate da attività finanziarie e patrimoniali</t>
  </si>
  <si>
    <t>1) Su rapporti bancari</t>
  </si>
  <si>
    <t>1) Da rapporti bancari</t>
  </si>
  <si>
    <t>2) Su investimenti finanziari</t>
  </si>
  <si>
    <t>2) Da altri investimenti finanziari</t>
  </si>
  <si>
    <t>3) Su patrimonio edilizio</t>
  </si>
  <si>
    <t>3) Da patrimonio edilizio</t>
  </si>
  <si>
    <t>4) Su altri beni patrimoniali</t>
  </si>
  <si>
    <t>4) Da altri beni patrimoniali</t>
  </si>
  <si>
    <t>5) Altre uscite</t>
  </si>
  <si>
    <t>5) Altre entrate</t>
  </si>
  <si>
    <t>Avanzo/disavanzo attività finanziarie e patrimoniali (+/-)</t>
  </si>
  <si>
    <t>E) Uscite di supporto generale</t>
  </si>
  <si>
    <t>E) Entrate di supporto generale</t>
  </si>
  <si>
    <t>1) Entrate da distacco del personale</t>
  </si>
  <si>
    <t>2) Altre entrate di supporto generale</t>
  </si>
  <si>
    <t>TOTALE ONERI E COSTI</t>
  </si>
  <si>
    <t>Avanzo/disavanzo d’esercizio prima delle imposte (+/-)</t>
  </si>
  <si>
    <t>Imposte</t>
  </si>
  <si>
    <t>Avanzo/disavanzo d’esercizio prima di investimenti e disinvestimenti patrimoniali e finanziamenti (+/-)</t>
  </si>
  <si>
    <t>Uscite da investimenti in immobilizzazioni o da deflussi di capitale di terzi</t>
  </si>
  <si>
    <t>Entrate da disinvestimenti in immobilizzazioni o da flussi di capitale di terzi</t>
  </si>
  <si>
    <t>1) Investimenti in immobilizzazioni inerenti alle attività di interesse generale</t>
  </si>
  <si>
    <t>1) Disinvestimenti di immobilizzazioni inerenti alle attività di interesse generale</t>
  </si>
  <si>
    <t>2) Investimenti in immobilizzazioni inerenti alle attività diverse</t>
  </si>
  <si>
    <t>2) Disinvestimenti di immobilizzazioni inerenti alle attività diverse</t>
  </si>
  <si>
    <t>3) Investimenti in attività finanziarie e patrimoniali</t>
  </si>
  <si>
    <t>3) Disinvestimenti di attività finanziarie e patrimoniali</t>
  </si>
  <si>
    <t>4) Rimborso di finanziamenti per quota capitale e di prestiti</t>
  </si>
  <si>
    <t>4) Ricevimento di finanziamenti e di prestiti</t>
  </si>
  <si>
    <t>Avanzo/disavanzo da entrate e uscite per investimenti e disinvestimenti patrimoniali e finanziamenti (+/-)</t>
  </si>
  <si>
    <t>Avanzo/disavanzo complessivo (+/-)</t>
  </si>
  <si>
    <t>Cassa e banca</t>
  </si>
  <si>
    <t>Cassa</t>
  </si>
  <si>
    <t>Depositi bancari e postali</t>
  </si>
  <si>
    <t>TOTALE ENTRATE DELLA GESTIONE</t>
  </si>
  <si>
    <t>Cassa e Banca anno precedente</t>
  </si>
  <si>
    <t>Avanzo/Disavanzo corrente</t>
  </si>
  <si>
    <t>Cassa e Banca anno corrente</t>
  </si>
  <si>
    <t>Esito controllo</t>
  </si>
  <si>
    <t>RENDICONTO PER CASSA</t>
  </si>
  <si>
    <t xml:space="preserve">ASSOCIAZIONE XX </t>
  </si>
  <si>
    <t>Maggiori informazioni:</t>
  </si>
  <si>
    <t>https://www.banana.ch/apps/it/it/contabilita-terzo-settore/fino-a-300000</t>
  </si>
  <si>
    <t>Mettiamo a disposizione questo modello Excel senza responsabilità, come previsto dai nostri Termini e Condizioni d'uso:</t>
  </si>
  <si>
    <t>https://www.banana.ch/it/node/9249</t>
  </si>
  <si>
    <t>Data fine anno corrente</t>
  </si>
  <si>
    <t>Data fine anno precedente</t>
  </si>
  <si>
    <t>https://www.lavoro.gov.it/documenti-e-norme/normative/Documents/2020/DM-05032020-Adozione-modulistica-di-bilancioi-Enti-del-Terzo-Settore.pdf</t>
  </si>
  <si>
    <t>Rendiconto per Cassa secondo modello D. (vedi pagina 13 del)</t>
  </si>
  <si>
    <t xml:space="preserve">Impostazioni </t>
  </si>
  <si>
    <t>Colora celle inserimento valori (per stampa No)</t>
  </si>
  <si>
    <t>Differenza (deve essere zero)</t>
  </si>
  <si>
    <t>Totale Cassa e Banca più Avanzo/Disavanzo</t>
  </si>
  <si>
    <t>CONTROLLO QUADRATURA</t>
  </si>
  <si>
    <t>https://www.lavoro.gov.it/temi-e-priorita-orientamento-e-formazione/normativa/allegato-3-alle-linee-guida</t>
  </si>
  <si>
    <t>Ministero del Lavoro e delle Politiche Sociali</t>
  </si>
  <si>
    <t xml:space="preserve">Costi e proventi figurativi: inserimento facoltativo.   Se non interessa Eliminare le relative righe </t>
  </si>
  <si>
    <t xml:space="preserve">Prima del "controllo di quadratura" aggiungere eventuale data di approvazione e nomi dei dirigenti per la firma </t>
  </si>
  <si>
    <t>Importi in Euro</t>
  </si>
  <si>
    <t>Note / Personalizzazioni</t>
  </si>
  <si>
    <t>Facile da usare (Simile a Excel) e gratuito fino a 70 registrazioni.</t>
  </si>
  <si>
    <t>Copyright Banana.ch SA 2022-2026</t>
  </si>
  <si>
    <t>Personalizzare il foglio come si desidera. Attenzione a non sovrascrivere le celle con le formule</t>
  </si>
  <si>
    <t>Si</t>
  </si>
  <si>
    <t>Ogni ente è obbligato a mantenere una raccolta completa e ordinata dei documenti (fatture, ricevute e altri documenti), conservandoli in modo sistematico e facilmente reperibile.</t>
  </si>
  <si>
    <t>Una raccolta ordinata dei documenti non è però sufficiente, in molti casi è utile fare anche la registrazione cronologica e sistematica dei movimenti.</t>
  </si>
  <si>
    <t>Banana Contabilità</t>
  </si>
  <si>
    <r>
      <rPr>
        <sz val="12"/>
        <color theme="1"/>
        <rFont val="Calibri"/>
        <family val="2"/>
        <scheme val="minor"/>
      </rPr>
      <t>Con Banana Contabilità questo passo</t>
    </r>
    <r>
      <rPr>
        <b/>
        <sz val="12"/>
        <color theme="1"/>
        <rFont val="Calibri"/>
        <family val="2"/>
        <scheme val="minor"/>
      </rPr>
      <t xml:space="preserve"> è molto semplice e veloce:</t>
    </r>
  </si>
  <si>
    <t>Ti permette di fare la registrazione cronologica e sistematica dei movimenti (collegandoli ai documenti), una prima nota.</t>
  </si>
  <si>
    <t>In questo modo potrai anche ottenere in automatico il Rendiconto per cassa e altri rendiconti.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</si>
</sst>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yyyy"/>
  </numFmts>
  <fonts count="1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39">
    <xf numFmtId="0" fontId="0" fillId="0" borderId="0" xfId="0"/>
    <xf numFmtId="14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/>
    <xf numFmtId="0" fontId="5" fillId="0" borderId="0" xfId="0" applyFont="1"/>
    <xf numFmtId="0" fontId="6" fillId="2" borderId="0" xfId="0" applyFont="1" applyFill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6" fillId="2" borderId="0" xfId="0" applyFont="1" applyFill="1" applyAlignment="1">
      <alignment wrapText="1"/>
    </xf>
    <xf numFmtId="2" fontId="0" fillId="0" borderId="0" xfId="0" applyNumberFormat="1"/>
    <xf numFmtId="0" fontId="2" fillId="0" borderId="0" xfId="0" applyFont="1" applyAlignment="1">
      <alignment horizontal="right"/>
    </xf>
    <xf numFmtId="2" fontId="2" fillId="0" borderId="0" xfId="0" applyNumberFormat="1" applyFont="1"/>
    <xf numFmtId="0" fontId="1" fillId="0" borderId="0" xfId="0" applyFont="1"/>
    <xf numFmtId="2" fontId="1" fillId="0" borderId="0" xfId="0" applyNumberFormat="1" applyFont="1"/>
    <xf numFmtId="0" fontId="1" fillId="3" borderId="0" xfId="0" applyFont="1" applyFill="1"/>
    <xf numFmtId="164" fontId="6" fillId="2" borderId="0" xfId="0" applyNumberFormat="1" applyFont="1" applyFill="1" applyAlignment="1">
      <alignment horizontal="right" vertical="top"/>
    </xf>
    <xf numFmtId="164" fontId="6" fillId="2" borderId="0" xfId="0" applyNumberFormat="1" applyFont="1" applyFill="1" applyAlignment="1">
      <alignment horizontal="right"/>
    </xf>
    <xf numFmtId="0" fontId="2" fillId="0" borderId="0" xfId="0" applyFont="1" applyAlignment="1">
      <alignment horizontal="center"/>
    </xf>
    <xf numFmtId="165" fontId="0" fillId="0" borderId="0" xfId="0" applyNumberFormat="1"/>
    <xf numFmtId="2" fontId="7" fillId="0" borderId="0" xfId="0" applyNumberFormat="1" applyFont="1"/>
    <xf numFmtId="165" fontId="4" fillId="0" borderId="0" xfId="0" applyNumberFormat="1" applyFont="1"/>
    <xf numFmtId="164" fontId="9" fillId="0" borderId="0" xfId="0" applyNumberFormat="1" applyFont="1" applyAlignment="1">
      <alignment horizontal="left" vertical="top"/>
    </xf>
    <xf numFmtId="0" fontId="10" fillId="0" borderId="0" xfId="0" applyFont="1"/>
    <xf numFmtId="0" fontId="2" fillId="0" borderId="0" xfId="0" applyFont="1" applyAlignment="1">
      <alignment horizontal="left"/>
    </xf>
    <xf numFmtId="2" fontId="5" fillId="0" borderId="0" xfId="0" applyNumberFormat="1" applyFont="1"/>
    <xf numFmtId="0" fontId="12" fillId="0" borderId="0" xfId="1" applyFont="1"/>
    <xf numFmtId="0" fontId="11" fillId="0" borderId="0" xfId="1"/>
    <xf numFmtId="0" fontId="0" fillId="0" borderId="0" xfId="0" applyAlignment="1">
      <alignment horizontal="right"/>
    </xf>
    <xf numFmtId="0" fontId="4" fillId="0" borderId="0" xfId="0" applyFont="1"/>
    <xf numFmtId="0" fontId="0" fillId="0" borderId="0" xfId="0"/>
    <xf numFmtId="0" fontId="3" fillId="2" borderId="0" xfId="0" applyFont="1" applyFill="1"/>
    <xf numFmtId="0" fontId="1" fillId="3" borderId="0" xfId="0" applyFont="1" applyFill="1" applyAlignment="1">
      <alignment horizontal="left"/>
    </xf>
    <xf numFmtId="0" fontId="6" fillId="2" borderId="0" xfId="0" applyFont="1" applyFill="1"/>
    <xf numFmtId="0" fontId="13" fillId="0" borderId="0" xfId="1" applyFont="1"/>
    <xf numFmtId="0" fontId="13" fillId="0" borderId="0" xfId="0" applyFont="1"/>
    <xf numFmtId="0" fontId="14" fillId="0" borderId="0" xfId="0" applyFont="1"/>
    <xf numFmtId="0" fontId="9" fillId="0" borderId="0" xfId="1" applyFont="1"/>
    <xf numFmtId="0" fontId="9" fillId="0" borderId="0" xfId="0" applyFont="1"/>
  </cellXfs>
  <cellStyles count="2">
    <cellStyle name="Collegamento ipertestuale" xfId="1" builtinId="8"/>
    <cellStyle name="Normale" xfId="0" builtinId="0"/>
  </cellStyles>
  <dxfs count="3">
    <dxf>
      <fill>
        <patternFill>
          <bgColor theme="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avoro.gov.it/documenti-e-norme/normative/Documents/2020/DM-05032020-Adozione-modulistica-di-bilancioi-Enti-del-Terzo-Settore.pdf" TargetMode="External"/><Relationship Id="rId2" Type="http://schemas.openxmlformats.org/officeDocument/2006/relationships/hyperlink" Target="https://www.banana.ch/it/node/9249" TargetMode="External"/><Relationship Id="rId1" Type="http://schemas.openxmlformats.org/officeDocument/2006/relationships/hyperlink" Target="https://www.banana.ch/apps/it/it/contabilita-terzo-settore/fino-a-300000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lavoro.gov.it/temi-e-priorita-orientamento-e-formazione/normativa/allegato-3-alle-linee-guid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01BA8-36CC-4DBE-B6A9-97354061FBEE}">
  <dimension ref="A1:I133"/>
  <sheetViews>
    <sheetView tabSelected="1" topLeftCell="A103" zoomScaleNormal="100" workbookViewId="0">
      <selection activeCell="E1" sqref="E1"/>
    </sheetView>
  </sheetViews>
  <sheetFormatPr defaultColWidth="8.81640625" defaultRowHeight="14.75" x14ac:dyDescent="0.75"/>
  <cols>
    <col min="1" max="1" width="45.6796875" customWidth="1"/>
    <col min="2" max="2" width="16.6796875" customWidth="1"/>
    <col min="3" max="3" width="19.81640625" customWidth="1"/>
    <col min="4" max="4" width="6.1796875" customWidth="1"/>
    <col min="5" max="5" width="52.31640625" customWidth="1"/>
    <col min="6" max="6" width="15.1796875" customWidth="1"/>
    <col min="7" max="7" width="14.6796875" customWidth="1"/>
    <col min="8" max="9" width="9.81640625" bestFit="1" customWidth="1"/>
  </cols>
  <sheetData>
    <row r="1" spans="1:7" x14ac:dyDescent="0.75">
      <c r="A1" s="24" t="s">
        <v>95</v>
      </c>
    </row>
    <row r="2" spans="1:7" ht="16" x14ac:dyDescent="0.75">
      <c r="A2" t="s">
        <v>91</v>
      </c>
      <c r="B2" s="22">
        <v>46022</v>
      </c>
    </row>
    <row r="3" spans="1:7" ht="16" x14ac:dyDescent="0.75">
      <c r="A3" t="s">
        <v>92</v>
      </c>
      <c r="B3" s="22">
        <v>45657</v>
      </c>
    </row>
    <row r="4" spans="1:7" x14ac:dyDescent="0.75">
      <c r="A4" t="s">
        <v>96</v>
      </c>
      <c r="B4" s="23" t="s">
        <v>109</v>
      </c>
    </row>
    <row r="7" spans="1:7" s="3" customFormat="1" ht="21" x14ac:dyDescent="1">
      <c r="A7" s="29" t="s">
        <v>86</v>
      </c>
      <c r="B7" s="30"/>
      <c r="C7" s="30"/>
      <c r="D7" s="30"/>
      <c r="E7" s="30"/>
    </row>
    <row r="8" spans="1:7" ht="21" x14ac:dyDescent="1">
      <c r="A8" s="3" t="s">
        <v>85</v>
      </c>
      <c r="B8" s="21">
        <f>B2</f>
        <v>46022</v>
      </c>
    </row>
    <row r="9" spans="1:7" ht="21" x14ac:dyDescent="1">
      <c r="A9" t="s">
        <v>104</v>
      </c>
      <c r="B9" s="21"/>
    </row>
    <row r="10" spans="1:7" x14ac:dyDescent="0.75">
      <c r="B10" s="19"/>
    </row>
    <row r="11" spans="1:7" x14ac:dyDescent="0.75">
      <c r="B11" s="19"/>
    </row>
    <row r="12" spans="1:7" s="5" customFormat="1" ht="16" x14ac:dyDescent="0.8">
      <c r="A12" s="6" t="s">
        <v>6</v>
      </c>
      <c r="B12" s="16">
        <f>B2</f>
        <v>46022</v>
      </c>
      <c r="C12" s="16">
        <f>B3</f>
        <v>45657</v>
      </c>
      <c r="E12" s="6" t="s">
        <v>7</v>
      </c>
      <c r="F12" s="16">
        <f>B2</f>
        <v>46022</v>
      </c>
      <c r="G12" s="16">
        <f>B3</f>
        <v>45657</v>
      </c>
    </row>
    <row r="13" spans="1:7" s="4" customFormat="1" x14ac:dyDescent="0.75">
      <c r="A13" s="4" t="s">
        <v>8</v>
      </c>
      <c r="E13" s="4" t="s">
        <v>9</v>
      </c>
      <c r="F13" s="18"/>
      <c r="G13" s="18"/>
    </row>
    <row r="14" spans="1:7" x14ac:dyDescent="0.75">
      <c r="A14" t="s">
        <v>10</v>
      </c>
      <c r="B14" s="20">
        <v>0</v>
      </c>
      <c r="C14" s="20">
        <v>0</v>
      </c>
      <c r="E14" t="s">
        <v>11</v>
      </c>
      <c r="F14" s="20">
        <v>0</v>
      </c>
      <c r="G14" s="20">
        <v>0</v>
      </c>
    </row>
    <row r="15" spans="1:7" x14ac:dyDescent="0.75">
      <c r="A15" t="s">
        <v>12</v>
      </c>
      <c r="B15" s="20">
        <v>0</v>
      </c>
      <c r="C15" s="20">
        <v>0</v>
      </c>
      <c r="E15" t="s">
        <v>13</v>
      </c>
      <c r="F15" s="20">
        <v>0</v>
      </c>
      <c r="G15" s="20">
        <v>0</v>
      </c>
    </row>
    <row r="16" spans="1:7" x14ac:dyDescent="0.75">
      <c r="A16" t="s">
        <v>14</v>
      </c>
      <c r="B16" s="20">
        <v>0</v>
      </c>
      <c r="C16" s="20">
        <v>0</v>
      </c>
      <c r="E16" t="s">
        <v>15</v>
      </c>
      <c r="F16" s="20">
        <v>0</v>
      </c>
      <c r="G16" s="20">
        <v>0</v>
      </c>
    </row>
    <row r="17" spans="1:7" x14ac:dyDescent="0.75">
      <c r="A17" t="s">
        <v>16</v>
      </c>
      <c r="B17" s="20">
        <v>0</v>
      </c>
      <c r="C17" s="20">
        <v>0</v>
      </c>
      <c r="E17" t="s">
        <v>17</v>
      </c>
      <c r="F17" s="20">
        <v>0</v>
      </c>
      <c r="G17" s="20">
        <v>0</v>
      </c>
    </row>
    <row r="18" spans="1:7" x14ac:dyDescent="0.75">
      <c r="A18" t="s">
        <v>18</v>
      </c>
      <c r="B18" s="20">
        <v>0</v>
      </c>
      <c r="C18" s="20">
        <v>0</v>
      </c>
      <c r="E18" t="s">
        <v>19</v>
      </c>
      <c r="F18" s="20">
        <v>0</v>
      </c>
      <c r="G18" s="20">
        <v>0</v>
      </c>
    </row>
    <row r="19" spans="1:7" x14ac:dyDescent="0.75">
      <c r="E19" t="s">
        <v>20</v>
      </c>
      <c r="F19" s="20">
        <v>0</v>
      </c>
      <c r="G19" s="20">
        <v>0</v>
      </c>
    </row>
    <row r="20" spans="1:7" x14ac:dyDescent="0.75">
      <c r="E20" t="s">
        <v>21</v>
      </c>
      <c r="F20" s="20">
        <v>0</v>
      </c>
      <c r="G20" s="20">
        <v>0</v>
      </c>
    </row>
    <row r="21" spans="1:7" x14ac:dyDescent="0.75">
      <c r="E21" t="s">
        <v>22</v>
      </c>
      <c r="F21" s="20">
        <v>0</v>
      </c>
      <c r="G21" s="20">
        <v>0</v>
      </c>
    </row>
    <row r="22" spans="1:7" x14ac:dyDescent="0.75">
      <c r="E22" t="s">
        <v>23</v>
      </c>
      <c r="F22" s="20">
        <v>0</v>
      </c>
      <c r="G22" s="20">
        <v>0</v>
      </c>
    </row>
    <row r="23" spans="1:7" x14ac:dyDescent="0.75">
      <c r="E23" t="s">
        <v>24</v>
      </c>
      <c r="F23" s="20">
        <v>0</v>
      </c>
      <c r="G23" s="20">
        <v>0</v>
      </c>
    </row>
    <row r="24" spans="1:7" x14ac:dyDescent="0.75">
      <c r="A24" s="11" t="s">
        <v>5</v>
      </c>
      <c r="B24" s="12">
        <f>SUM(B14:B18)</f>
        <v>0</v>
      </c>
      <c r="C24" s="12">
        <f>SUM(C14:C18)</f>
        <v>0</v>
      </c>
      <c r="D24" s="4"/>
      <c r="E24" s="11" t="s">
        <v>5</v>
      </c>
      <c r="F24" s="12">
        <f>SUM(F14:F23)</f>
        <v>0</v>
      </c>
      <c r="G24" s="12">
        <f>SUM(G14:G23)</f>
        <v>0</v>
      </c>
    </row>
    <row r="25" spans="1:7" x14ac:dyDescent="0.75">
      <c r="A25" s="28" t="s">
        <v>25</v>
      </c>
      <c r="B25" s="28"/>
      <c r="C25" s="28"/>
      <c r="D25" s="28"/>
      <c r="E25" s="28"/>
      <c r="F25" s="10">
        <f>F24-B24</f>
        <v>0</v>
      </c>
      <c r="G25" s="10">
        <f>G24-C24</f>
        <v>0</v>
      </c>
    </row>
    <row r="26" spans="1:7" x14ac:dyDescent="0.75">
      <c r="A26" s="7"/>
      <c r="B26" s="7"/>
      <c r="C26" s="7"/>
      <c r="D26" s="7"/>
      <c r="E26" s="7"/>
    </row>
    <row r="27" spans="1:7" x14ac:dyDescent="0.75">
      <c r="A27" s="4" t="s">
        <v>26</v>
      </c>
      <c r="E27" s="4" t="s">
        <v>27</v>
      </c>
    </row>
    <row r="28" spans="1:7" x14ac:dyDescent="0.75">
      <c r="A28" t="s">
        <v>10</v>
      </c>
      <c r="B28" s="20">
        <v>0</v>
      </c>
      <c r="C28" s="20">
        <v>0</v>
      </c>
      <c r="E28" t="s">
        <v>28</v>
      </c>
      <c r="F28" s="20">
        <v>0</v>
      </c>
      <c r="G28" s="20">
        <v>0</v>
      </c>
    </row>
    <row r="29" spans="1:7" x14ac:dyDescent="0.75">
      <c r="A29" t="s">
        <v>12</v>
      </c>
      <c r="B29" s="20">
        <v>0</v>
      </c>
      <c r="C29" s="20">
        <v>0</v>
      </c>
      <c r="E29" t="s">
        <v>29</v>
      </c>
      <c r="F29" s="20">
        <v>0</v>
      </c>
      <c r="G29" s="20">
        <v>0</v>
      </c>
    </row>
    <row r="30" spans="1:7" x14ac:dyDescent="0.75">
      <c r="A30" t="s">
        <v>14</v>
      </c>
      <c r="B30" s="20">
        <v>0</v>
      </c>
      <c r="C30" s="20">
        <v>0</v>
      </c>
      <c r="E30" t="s">
        <v>30</v>
      </c>
      <c r="F30" s="20">
        <v>0</v>
      </c>
      <c r="G30" s="20">
        <v>0</v>
      </c>
    </row>
    <row r="31" spans="1:7" x14ac:dyDescent="0.75">
      <c r="A31" t="s">
        <v>16</v>
      </c>
      <c r="B31" s="20">
        <v>0</v>
      </c>
      <c r="C31" s="20">
        <v>0</v>
      </c>
      <c r="E31" t="s">
        <v>31</v>
      </c>
      <c r="F31" s="20">
        <v>0</v>
      </c>
      <c r="G31" s="20">
        <v>0</v>
      </c>
    </row>
    <row r="32" spans="1:7" x14ac:dyDescent="0.75">
      <c r="A32" t="s">
        <v>18</v>
      </c>
      <c r="B32" s="20">
        <v>0</v>
      </c>
      <c r="C32" s="20">
        <v>0</v>
      </c>
      <c r="E32" t="s">
        <v>32</v>
      </c>
      <c r="F32" s="20">
        <v>0</v>
      </c>
      <c r="G32" s="20">
        <v>0</v>
      </c>
    </row>
    <row r="33" spans="1:7" x14ac:dyDescent="0.75">
      <c r="E33" t="s">
        <v>33</v>
      </c>
      <c r="F33" s="20">
        <v>0</v>
      </c>
      <c r="G33" s="20">
        <v>0</v>
      </c>
    </row>
    <row r="34" spans="1:7" x14ac:dyDescent="0.75">
      <c r="A34" s="11" t="s">
        <v>5</v>
      </c>
      <c r="B34" s="12">
        <f>SUM(B28:B32)</f>
        <v>0</v>
      </c>
      <c r="C34" s="12">
        <f>SUM(C28:C32)</f>
        <v>0</v>
      </c>
      <c r="D34" s="4"/>
      <c r="E34" s="11" t="s">
        <v>5</v>
      </c>
      <c r="F34" s="12">
        <f>SUM(F28:F33)</f>
        <v>0</v>
      </c>
      <c r="G34" s="12">
        <f>SUM(G28:G33)</f>
        <v>0</v>
      </c>
    </row>
    <row r="35" spans="1:7" x14ac:dyDescent="0.75">
      <c r="A35" s="28" t="s">
        <v>34</v>
      </c>
      <c r="B35" s="28"/>
      <c r="C35" s="28"/>
      <c r="D35" s="28"/>
      <c r="E35" s="28"/>
      <c r="F35" s="10">
        <f>F34-B34</f>
        <v>0</v>
      </c>
      <c r="G35" s="10">
        <f>G34-C34</f>
        <v>0</v>
      </c>
    </row>
    <row r="36" spans="1:7" x14ac:dyDescent="0.75">
      <c r="A36" s="7"/>
      <c r="B36" s="7"/>
      <c r="C36" s="7"/>
      <c r="D36" s="7"/>
      <c r="E36" s="7"/>
    </row>
    <row r="37" spans="1:7" x14ac:dyDescent="0.75">
      <c r="A37" s="4" t="s">
        <v>35</v>
      </c>
      <c r="E37" s="4" t="s">
        <v>36</v>
      </c>
    </row>
    <row r="38" spans="1:7" x14ac:dyDescent="0.75">
      <c r="A38" t="s">
        <v>37</v>
      </c>
      <c r="B38" s="20">
        <v>0</v>
      </c>
      <c r="C38" s="20">
        <v>0</v>
      </c>
      <c r="E38" t="s">
        <v>38</v>
      </c>
      <c r="F38" s="20">
        <v>0</v>
      </c>
      <c r="G38" s="20">
        <v>0</v>
      </c>
    </row>
    <row r="39" spans="1:7" x14ac:dyDescent="0.75">
      <c r="A39" t="s">
        <v>39</v>
      </c>
      <c r="B39" s="20">
        <v>0</v>
      </c>
      <c r="C39" s="20">
        <v>0</v>
      </c>
      <c r="E39" t="s">
        <v>40</v>
      </c>
      <c r="F39" s="20">
        <v>0</v>
      </c>
      <c r="G39" s="20">
        <v>0</v>
      </c>
    </row>
    <row r="40" spans="1:7" x14ac:dyDescent="0.75">
      <c r="A40" t="s">
        <v>41</v>
      </c>
      <c r="B40" s="20">
        <v>0</v>
      </c>
      <c r="C40" s="20">
        <v>0</v>
      </c>
      <c r="E40" t="s">
        <v>42</v>
      </c>
      <c r="F40" s="20">
        <v>0</v>
      </c>
      <c r="G40" s="20">
        <v>0</v>
      </c>
    </row>
    <row r="41" spans="1:7" x14ac:dyDescent="0.75">
      <c r="A41" s="11" t="s">
        <v>5</v>
      </c>
      <c r="B41" s="12">
        <f>SUM(B38:B40)</f>
        <v>0</v>
      </c>
      <c r="C41" s="12">
        <f>SUM(C38:C40)</f>
        <v>0</v>
      </c>
      <c r="D41" s="4"/>
      <c r="E41" s="11" t="s">
        <v>5</v>
      </c>
      <c r="F41" s="12">
        <f>SUM(F38:F40)</f>
        <v>0</v>
      </c>
      <c r="G41" s="12">
        <f>SUM(G38:G40)</f>
        <v>0</v>
      </c>
    </row>
    <row r="42" spans="1:7" x14ac:dyDescent="0.75">
      <c r="A42" s="28" t="s">
        <v>43</v>
      </c>
      <c r="B42" s="28"/>
      <c r="C42" s="28"/>
      <c r="D42" s="28"/>
      <c r="E42" s="28"/>
      <c r="F42" s="10">
        <f>F41-B41</f>
        <v>0</v>
      </c>
      <c r="G42" s="10">
        <f>G41-C41</f>
        <v>0</v>
      </c>
    </row>
    <row r="43" spans="1:7" x14ac:dyDescent="0.75">
      <c r="A43" s="7"/>
      <c r="B43" s="7"/>
      <c r="C43" s="7"/>
      <c r="D43" s="7"/>
      <c r="E43" s="7"/>
    </row>
    <row r="44" spans="1:7" x14ac:dyDescent="0.75">
      <c r="A44" s="4" t="s">
        <v>44</v>
      </c>
      <c r="E44" s="4" t="s">
        <v>45</v>
      </c>
    </row>
    <row r="45" spans="1:7" x14ac:dyDescent="0.75">
      <c r="A45" t="s">
        <v>46</v>
      </c>
      <c r="B45" s="20">
        <v>0</v>
      </c>
      <c r="C45" s="20">
        <v>0</v>
      </c>
      <c r="E45" t="s">
        <v>47</v>
      </c>
      <c r="F45" s="20">
        <v>0</v>
      </c>
      <c r="G45" s="20">
        <v>0</v>
      </c>
    </row>
    <row r="46" spans="1:7" x14ac:dyDescent="0.75">
      <c r="A46" t="s">
        <v>48</v>
      </c>
      <c r="B46" s="20">
        <v>0</v>
      </c>
      <c r="C46" s="20">
        <v>0</v>
      </c>
      <c r="E46" t="s">
        <v>49</v>
      </c>
      <c r="F46" s="20">
        <v>0</v>
      </c>
      <c r="G46" s="20">
        <v>0</v>
      </c>
    </row>
    <row r="47" spans="1:7" x14ac:dyDescent="0.75">
      <c r="A47" t="s">
        <v>50</v>
      </c>
      <c r="B47" s="20">
        <v>0</v>
      </c>
      <c r="C47" s="20">
        <v>0</v>
      </c>
      <c r="E47" t="s">
        <v>51</v>
      </c>
      <c r="F47" s="20">
        <v>0</v>
      </c>
      <c r="G47" s="20">
        <v>0</v>
      </c>
    </row>
    <row r="48" spans="1:7" x14ac:dyDescent="0.75">
      <c r="A48" t="s">
        <v>52</v>
      </c>
      <c r="B48" s="20">
        <v>0</v>
      </c>
      <c r="C48" s="20">
        <v>0</v>
      </c>
      <c r="E48" t="s">
        <v>53</v>
      </c>
      <c r="F48" s="20">
        <v>0</v>
      </c>
      <c r="G48" s="20">
        <v>0</v>
      </c>
    </row>
    <row r="49" spans="1:7" x14ac:dyDescent="0.75">
      <c r="A49" t="s">
        <v>54</v>
      </c>
      <c r="B49" s="20">
        <v>0</v>
      </c>
      <c r="C49" s="20">
        <v>0</v>
      </c>
      <c r="E49" t="s">
        <v>55</v>
      </c>
      <c r="F49" s="20">
        <v>0</v>
      </c>
      <c r="G49" s="20">
        <v>0</v>
      </c>
    </row>
    <row r="50" spans="1:7" x14ac:dyDescent="0.75">
      <c r="A50" s="11" t="s">
        <v>5</v>
      </c>
      <c r="B50" s="12">
        <f>SUM(B45:B49)</f>
        <v>0</v>
      </c>
      <c r="C50" s="12">
        <f>SUM(C45:C49)</f>
        <v>0</v>
      </c>
      <c r="D50" s="4"/>
      <c r="E50" s="11" t="s">
        <v>5</v>
      </c>
      <c r="F50" s="12">
        <f>SUM(F45:F49)</f>
        <v>0</v>
      </c>
      <c r="G50" s="12">
        <f>SUM(G45:G49)</f>
        <v>0</v>
      </c>
    </row>
    <row r="51" spans="1:7" x14ac:dyDescent="0.75">
      <c r="A51" s="28" t="s">
        <v>56</v>
      </c>
      <c r="B51" s="28"/>
      <c r="C51" s="28"/>
      <c r="D51" s="28"/>
      <c r="E51" s="28"/>
      <c r="F51" s="10">
        <f>F50-B50</f>
        <v>0</v>
      </c>
      <c r="G51" s="10">
        <f>G50-C50</f>
        <v>0</v>
      </c>
    </row>
    <row r="53" spans="1:7" x14ac:dyDescent="0.75">
      <c r="A53" s="4" t="s">
        <v>57</v>
      </c>
      <c r="E53" s="4" t="s">
        <v>58</v>
      </c>
    </row>
    <row r="54" spans="1:7" x14ac:dyDescent="0.75">
      <c r="A54" t="s">
        <v>10</v>
      </c>
      <c r="B54" s="20">
        <v>0</v>
      </c>
      <c r="C54" s="20">
        <v>0</v>
      </c>
      <c r="E54" t="s">
        <v>59</v>
      </c>
      <c r="F54" s="20">
        <v>0</v>
      </c>
      <c r="G54" s="20">
        <v>0</v>
      </c>
    </row>
    <row r="55" spans="1:7" x14ac:dyDescent="0.75">
      <c r="A55" t="s">
        <v>12</v>
      </c>
      <c r="B55" s="20">
        <v>0</v>
      </c>
      <c r="C55" s="20">
        <v>0</v>
      </c>
      <c r="E55" t="s">
        <v>60</v>
      </c>
      <c r="F55" s="20">
        <v>0</v>
      </c>
      <c r="G55" s="20">
        <v>0</v>
      </c>
    </row>
    <row r="56" spans="1:7" x14ac:dyDescent="0.75">
      <c r="A56" t="s">
        <v>14</v>
      </c>
      <c r="B56" s="20">
        <v>0</v>
      </c>
      <c r="C56" s="20">
        <v>0</v>
      </c>
    </row>
    <row r="57" spans="1:7" x14ac:dyDescent="0.75">
      <c r="A57" t="s">
        <v>16</v>
      </c>
      <c r="B57" s="20">
        <v>0</v>
      </c>
      <c r="C57" s="20">
        <v>0</v>
      </c>
    </row>
    <row r="58" spans="1:7" x14ac:dyDescent="0.75">
      <c r="A58" t="s">
        <v>54</v>
      </c>
      <c r="B58" s="20">
        <v>0</v>
      </c>
      <c r="C58" s="20">
        <v>0</v>
      </c>
    </row>
    <row r="59" spans="1:7" x14ac:dyDescent="0.75">
      <c r="A59" s="11" t="s">
        <v>5</v>
      </c>
      <c r="B59" s="12">
        <f>SUM(B54:B58)</f>
        <v>0</v>
      </c>
      <c r="C59" s="12">
        <f>SUM(C54:C58)</f>
        <v>0</v>
      </c>
      <c r="D59" s="4"/>
      <c r="E59" s="11" t="s">
        <v>5</v>
      </c>
      <c r="F59" s="12">
        <f>SUM(F54:F55)</f>
        <v>0</v>
      </c>
      <c r="G59" s="12">
        <f>SUM(G54:G55)</f>
        <v>0</v>
      </c>
    </row>
    <row r="60" spans="1:7" x14ac:dyDescent="0.75">
      <c r="A60" s="7"/>
      <c r="E60" s="7"/>
    </row>
    <row r="61" spans="1:7" x14ac:dyDescent="0.75">
      <c r="A61" s="4" t="s">
        <v>61</v>
      </c>
      <c r="B61" s="12">
        <f>B24+B34+B41+B50+B59</f>
        <v>0</v>
      </c>
      <c r="C61" s="12">
        <f>C24+C34+C41+C50+C59</f>
        <v>0</v>
      </c>
      <c r="E61" s="4" t="s">
        <v>80</v>
      </c>
      <c r="F61" s="12">
        <f>F24+F34+F41+F50+F59</f>
        <v>0</v>
      </c>
      <c r="G61" s="12">
        <f>G24+G34+G41+G50+G59</f>
        <v>0</v>
      </c>
    </row>
    <row r="62" spans="1:7" x14ac:dyDescent="0.75">
      <c r="A62" s="28" t="s">
        <v>62</v>
      </c>
      <c r="B62" s="28"/>
      <c r="C62" s="28"/>
      <c r="D62" s="28"/>
      <c r="E62" s="28"/>
      <c r="F62" s="10">
        <f>F61-B61</f>
        <v>0</v>
      </c>
      <c r="G62" s="10">
        <f>G61-C61</f>
        <v>0</v>
      </c>
    </row>
    <row r="63" spans="1:7" x14ac:dyDescent="0.75">
      <c r="A63" s="28" t="s">
        <v>63</v>
      </c>
      <c r="B63" s="28"/>
      <c r="C63" s="28"/>
      <c r="D63" s="28"/>
      <c r="E63" s="28"/>
      <c r="F63" s="10">
        <v>0</v>
      </c>
      <c r="G63" s="10">
        <v>0</v>
      </c>
    </row>
    <row r="64" spans="1:7" x14ac:dyDescent="0.75">
      <c r="A64" s="28" t="s">
        <v>64</v>
      </c>
      <c r="B64" s="28"/>
      <c r="C64" s="28"/>
      <c r="D64" s="28"/>
      <c r="E64" s="28"/>
      <c r="F64" s="10">
        <f>F62-F63</f>
        <v>0</v>
      </c>
      <c r="G64" s="10">
        <f>G62-G63</f>
        <v>0</v>
      </c>
    </row>
    <row r="65" spans="1:7" x14ac:dyDescent="0.75">
      <c r="A65" s="7"/>
      <c r="B65" s="7"/>
      <c r="C65" s="7"/>
      <c r="D65" s="7"/>
      <c r="E65" s="7"/>
    </row>
    <row r="66" spans="1:7" x14ac:dyDescent="0.75">
      <c r="A66" t="s">
        <v>0</v>
      </c>
    </row>
    <row r="67" spans="1:7" ht="32" x14ac:dyDescent="0.8">
      <c r="A67" s="9" t="s">
        <v>65</v>
      </c>
      <c r="B67" s="16">
        <f>B12</f>
        <v>46022</v>
      </c>
      <c r="C67" s="16">
        <f>C12</f>
        <v>45657</v>
      </c>
      <c r="D67" s="5"/>
      <c r="E67" s="9" t="s">
        <v>66</v>
      </c>
      <c r="F67" s="16">
        <f>B12</f>
        <v>46022</v>
      </c>
      <c r="G67" s="16">
        <f>C12</f>
        <v>45657</v>
      </c>
    </row>
    <row r="68" spans="1:7" ht="29.5" x14ac:dyDescent="0.75">
      <c r="A68" s="8" t="s">
        <v>67</v>
      </c>
      <c r="B68" s="20">
        <v>0</v>
      </c>
      <c r="C68" s="20">
        <v>0</v>
      </c>
      <c r="E68" s="8" t="s">
        <v>68</v>
      </c>
      <c r="F68" s="20">
        <v>0</v>
      </c>
      <c r="G68" s="20">
        <v>0</v>
      </c>
    </row>
    <row r="69" spans="1:7" ht="29.5" x14ac:dyDescent="0.75">
      <c r="A69" s="8" t="s">
        <v>69</v>
      </c>
      <c r="B69" s="20">
        <v>0</v>
      </c>
      <c r="C69" s="20">
        <v>0</v>
      </c>
      <c r="E69" s="8" t="s">
        <v>70</v>
      </c>
      <c r="F69" s="20">
        <v>0</v>
      </c>
      <c r="G69" s="20">
        <v>0</v>
      </c>
    </row>
    <row r="70" spans="1:7" x14ac:dyDescent="0.75">
      <c r="A70" s="8" t="s">
        <v>71</v>
      </c>
      <c r="B70" s="20">
        <v>0</v>
      </c>
      <c r="C70" s="20">
        <v>0</v>
      </c>
      <c r="E70" s="8" t="s">
        <v>72</v>
      </c>
      <c r="F70" s="20">
        <v>0</v>
      </c>
      <c r="G70" s="20">
        <v>0</v>
      </c>
    </row>
    <row r="71" spans="1:7" ht="29.5" x14ac:dyDescent="0.75">
      <c r="A71" s="8" t="s">
        <v>73</v>
      </c>
      <c r="B71" s="20">
        <v>0</v>
      </c>
      <c r="C71" s="20">
        <v>0</v>
      </c>
      <c r="E71" s="8" t="s">
        <v>74</v>
      </c>
      <c r="F71" s="20">
        <v>0</v>
      </c>
      <c r="G71" s="20">
        <v>0</v>
      </c>
    </row>
    <row r="72" spans="1:7" x14ac:dyDescent="0.75">
      <c r="A72" s="11" t="s">
        <v>5</v>
      </c>
      <c r="B72" s="12">
        <f>SUM(B68:B71)</f>
        <v>0</v>
      </c>
      <c r="C72" s="12">
        <f>SUM(C68:C71)</f>
        <v>0</v>
      </c>
      <c r="D72" s="4"/>
      <c r="E72" s="11" t="s">
        <v>5</v>
      </c>
      <c r="F72" s="12">
        <f>SUM(F68:F71)</f>
        <v>0</v>
      </c>
      <c r="G72" s="12">
        <f>SUM(G68:G71)</f>
        <v>0</v>
      </c>
    </row>
    <row r="73" spans="1:7" x14ac:dyDescent="0.75">
      <c r="A73" s="28" t="s">
        <v>63</v>
      </c>
      <c r="B73" s="28"/>
      <c r="C73" s="28"/>
      <c r="D73" s="28"/>
      <c r="E73" s="28"/>
      <c r="F73" s="10">
        <v>0</v>
      </c>
      <c r="G73" s="10">
        <v>0</v>
      </c>
    </row>
    <row r="74" spans="1:7" x14ac:dyDescent="0.75">
      <c r="A74" s="28" t="s">
        <v>75</v>
      </c>
      <c r="B74" s="28"/>
      <c r="C74" s="28"/>
      <c r="D74" s="28"/>
      <c r="E74" s="28"/>
      <c r="F74" s="10">
        <f>F72-B72</f>
        <v>0</v>
      </c>
      <c r="G74" s="10">
        <f>G72-C72</f>
        <v>0</v>
      </c>
    </row>
    <row r="75" spans="1:7" x14ac:dyDescent="0.75">
      <c r="A75" s="7"/>
      <c r="B75" s="7"/>
      <c r="C75" s="7"/>
      <c r="D75" s="7"/>
      <c r="E75" s="7"/>
    </row>
    <row r="76" spans="1:7" x14ac:dyDescent="0.75">
      <c r="A76" t="s">
        <v>0</v>
      </c>
    </row>
    <row r="77" spans="1:7" s="2" customFormat="1" ht="16" x14ac:dyDescent="0.8">
      <c r="A77" s="31"/>
      <c r="B77" s="31"/>
      <c r="C77" s="31"/>
      <c r="D77" s="31"/>
      <c r="E77" s="31"/>
      <c r="F77" s="17">
        <f>B12</f>
        <v>46022</v>
      </c>
      <c r="G77" s="17">
        <f>C12</f>
        <v>45657</v>
      </c>
    </row>
    <row r="78" spans="1:7" x14ac:dyDescent="0.75">
      <c r="A78" s="28" t="s">
        <v>64</v>
      </c>
      <c r="B78" s="28"/>
      <c r="C78" s="28"/>
      <c r="D78" s="28"/>
      <c r="E78" s="28"/>
      <c r="F78" s="10">
        <f>F64</f>
        <v>0</v>
      </c>
      <c r="G78" s="10">
        <f>G64</f>
        <v>0</v>
      </c>
    </row>
    <row r="79" spans="1:7" x14ac:dyDescent="0.75">
      <c r="A79" s="28" t="s">
        <v>75</v>
      </c>
      <c r="B79" s="28"/>
      <c r="C79" s="28"/>
      <c r="D79" s="28"/>
      <c r="E79" s="28"/>
      <c r="F79" s="10">
        <f>F74</f>
        <v>0</v>
      </c>
      <c r="G79" s="10">
        <f>G74</f>
        <v>0</v>
      </c>
    </row>
    <row r="80" spans="1:7" x14ac:dyDescent="0.75">
      <c r="A80" s="28" t="s">
        <v>76</v>
      </c>
      <c r="B80" s="28"/>
      <c r="C80" s="28"/>
      <c r="D80" s="28"/>
      <c r="E80" s="28"/>
      <c r="F80" s="10">
        <f>F78+F79-F73</f>
        <v>0</v>
      </c>
      <c r="G80" s="10">
        <f>G78+G79-G73</f>
        <v>0</v>
      </c>
    </row>
    <row r="81" spans="1:9" x14ac:dyDescent="0.75">
      <c r="A81" t="s">
        <v>0</v>
      </c>
    </row>
    <row r="83" spans="1:9" ht="16" x14ac:dyDescent="0.8">
      <c r="A83" s="33" t="s">
        <v>77</v>
      </c>
      <c r="B83" s="33"/>
      <c r="C83" s="33"/>
      <c r="D83" s="33"/>
      <c r="E83" s="33"/>
      <c r="F83" s="17">
        <f>B12</f>
        <v>46022</v>
      </c>
      <c r="G83" s="17">
        <f>C12</f>
        <v>45657</v>
      </c>
    </row>
    <row r="84" spans="1:9" x14ac:dyDescent="0.75">
      <c r="A84" s="30" t="s">
        <v>78</v>
      </c>
      <c r="B84" s="30"/>
      <c r="C84" s="30"/>
      <c r="D84" s="30"/>
      <c r="E84" s="30"/>
      <c r="F84" s="20">
        <v>0</v>
      </c>
      <c r="G84" s="20">
        <v>0</v>
      </c>
    </row>
    <row r="85" spans="1:9" x14ac:dyDescent="0.75">
      <c r="A85" s="30" t="s">
        <v>79</v>
      </c>
      <c r="B85" s="30"/>
      <c r="C85" s="30"/>
      <c r="D85" s="30"/>
      <c r="E85" s="30"/>
      <c r="F85" s="20">
        <v>0</v>
      </c>
      <c r="G85" s="20">
        <v>0</v>
      </c>
    </row>
    <row r="88" spans="1:9" ht="16" x14ac:dyDescent="0.8">
      <c r="A88" s="6" t="s">
        <v>1</v>
      </c>
      <c r="B88" s="17">
        <f>B12</f>
        <v>46022</v>
      </c>
      <c r="C88" s="17">
        <f>C12</f>
        <v>45657</v>
      </c>
      <c r="E88" s="6" t="s">
        <v>2</v>
      </c>
      <c r="F88" s="17">
        <f>B12</f>
        <v>46022</v>
      </c>
      <c r="G88" s="17">
        <f>C12</f>
        <v>45657</v>
      </c>
    </row>
    <row r="89" spans="1:9" x14ac:dyDescent="0.75">
      <c r="A89" t="s">
        <v>3</v>
      </c>
      <c r="B89" s="10">
        <v>0</v>
      </c>
      <c r="C89" s="10">
        <v>0</v>
      </c>
      <c r="E89" t="s">
        <v>3</v>
      </c>
      <c r="F89" s="10">
        <v>0</v>
      </c>
      <c r="G89" s="10">
        <v>0</v>
      </c>
    </row>
    <row r="90" spans="1:9" x14ac:dyDescent="0.75">
      <c r="A90" t="s">
        <v>4</v>
      </c>
      <c r="B90" s="10">
        <v>0</v>
      </c>
      <c r="C90" s="10">
        <v>0</v>
      </c>
      <c r="E90" t="s">
        <v>4</v>
      </c>
      <c r="F90" s="10">
        <v>0</v>
      </c>
      <c r="G90" s="10">
        <v>0</v>
      </c>
    </row>
    <row r="91" spans="1:9" x14ac:dyDescent="0.75">
      <c r="A91" s="11" t="s">
        <v>5</v>
      </c>
      <c r="B91" s="12">
        <f>SUM(B89:B90)</f>
        <v>0</v>
      </c>
      <c r="C91" s="12">
        <f>SUM(C89:C90)</f>
        <v>0</v>
      </c>
      <c r="D91" s="4"/>
      <c r="E91" s="11" t="s">
        <v>5</v>
      </c>
      <c r="F91" s="12">
        <f>SUM(F89:F90)</f>
        <v>0</v>
      </c>
      <c r="G91" s="12">
        <f>SUM(G89:G90)</f>
        <v>0</v>
      </c>
    </row>
    <row r="92" spans="1:9" x14ac:dyDescent="0.75">
      <c r="A92" s="11"/>
      <c r="B92" s="12"/>
      <c r="C92" s="12"/>
      <c r="D92" s="4"/>
      <c r="E92" s="11"/>
      <c r="F92" s="12"/>
      <c r="G92" s="12"/>
    </row>
    <row r="93" spans="1:9" x14ac:dyDescent="0.75">
      <c r="A93" s="11"/>
      <c r="B93" s="12"/>
      <c r="C93" s="12"/>
      <c r="D93" s="4"/>
      <c r="E93" s="11"/>
      <c r="F93" s="12"/>
      <c r="G93" s="12"/>
    </row>
    <row r="96" spans="1:9" x14ac:dyDescent="0.75">
      <c r="C96" s="1"/>
      <c r="D96" s="1"/>
      <c r="H96" s="1"/>
      <c r="I96" s="1"/>
    </row>
    <row r="98" spans="1:7" ht="16" customHeight="1" x14ac:dyDescent="0.8">
      <c r="A98" s="5" t="s">
        <v>99</v>
      </c>
      <c r="B98" s="5"/>
    </row>
    <row r="99" spans="1:7" ht="16" customHeight="1" x14ac:dyDescent="0.8">
      <c r="A99" s="13" t="s">
        <v>81</v>
      </c>
      <c r="B99" s="14">
        <f>G84+G85</f>
        <v>0</v>
      </c>
    </row>
    <row r="100" spans="1:7" ht="16" customHeight="1" x14ac:dyDescent="0.8">
      <c r="A100" s="13" t="s">
        <v>82</v>
      </c>
      <c r="B100" s="14">
        <f>F80</f>
        <v>0</v>
      </c>
    </row>
    <row r="101" spans="1:7" ht="16" customHeight="1" x14ac:dyDescent="0.8">
      <c r="A101" s="5" t="s">
        <v>98</v>
      </c>
      <c r="B101" s="25">
        <f>SUM(B99:B100)</f>
        <v>0</v>
      </c>
    </row>
    <row r="102" spans="1:7" ht="16" customHeight="1" x14ac:dyDescent="0.8">
      <c r="A102" s="13" t="s">
        <v>83</v>
      </c>
      <c r="B102" s="14">
        <f>F84+F85</f>
        <v>0</v>
      </c>
    </row>
    <row r="103" spans="1:7" ht="16" customHeight="1" x14ac:dyDescent="0.8">
      <c r="A103" s="5" t="s">
        <v>97</v>
      </c>
      <c r="B103" s="25">
        <f>B101-B102</f>
        <v>0</v>
      </c>
    </row>
    <row r="104" spans="1:7" ht="16" customHeight="1" x14ac:dyDescent="0.8">
      <c r="A104" s="15" t="s">
        <v>84</v>
      </c>
      <c r="B104" s="32" t="str">
        <f>IF(B103=0,"Quadratura OK","Errore quadratura")</f>
        <v>Quadratura OK</v>
      </c>
      <c r="C104" s="32"/>
      <c r="D104" s="13"/>
      <c r="E104" s="13"/>
      <c r="F104" s="13"/>
      <c r="G104" s="13"/>
    </row>
    <row r="107" spans="1:7" ht="16" x14ac:dyDescent="0.8">
      <c r="A107" s="5" t="s">
        <v>105</v>
      </c>
      <c r="B107" s="13"/>
    </row>
    <row r="108" spans="1:7" ht="16" x14ac:dyDescent="0.8">
      <c r="A108" s="13" t="s">
        <v>108</v>
      </c>
      <c r="B108" s="13"/>
    </row>
    <row r="109" spans="1:7" ht="16" x14ac:dyDescent="0.8">
      <c r="A109" s="13" t="s">
        <v>102</v>
      </c>
      <c r="B109" s="13"/>
    </row>
    <row r="110" spans="1:7" ht="16" x14ac:dyDescent="0.8">
      <c r="A110" s="13" t="s">
        <v>103</v>
      </c>
      <c r="B110" s="13"/>
    </row>
    <row r="111" spans="1:7" ht="16" x14ac:dyDescent="0.8">
      <c r="B111" s="13"/>
    </row>
    <row r="112" spans="1:7" ht="16" x14ac:dyDescent="0.8">
      <c r="A112" s="13"/>
      <c r="B112" s="13"/>
    </row>
    <row r="113" spans="1:2" ht="16" x14ac:dyDescent="0.8">
      <c r="A113" s="13" t="s">
        <v>94</v>
      </c>
      <c r="B113" s="13"/>
    </row>
    <row r="114" spans="1:2" ht="16" x14ac:dyDescent="0.8">
      <c r="A114" s="13" t="s">
        <v>101</v>
      </c>
      <c r="B114" s="13"/>
    </row>
    <row r="115" spans="1:2" ht="16" x14ac:dyDescent="0.8">
      <c r="A115" s="27" t="s">
        <v>93</v>
      </c>
      <c r="B115" s="13"/>
    </row>
    <row r="116" spans="1:2" ht="16" x14ac:dyDescent="0.8">
      <c r="A116" s="26" t="s">
        <v>100</v>
      </c>
      <c r="B116" s="13"/>
    </row>
    <row r="117" spans="1:2" ht="16" x14ac:dyDescent="0.8">
      <c r="A117" s="26"/>
      <c r="B117" s="13"/>
    </row>
    <row r="118" spans="1:2" ht="16" x14ac:dyDescent="0.8">
      <c r="A118" s="26"/>
      <c r="B118" s="13"/>
    </row>
    <row r="119" spans="1:2" s="23" customFormat="1" ht="16" x14ac:dyDescent="0.8">
      <c r="A119" s="37" t="s">
        <v>112</v>
      </c>
      <c r="B119" s="38"/>
    </row>
    <row r="120" spans="1:2" s="36" customFormat="1" ht="16" x14ac:dyDescent="0.8">
      <c r="A120" s="34" t="s">
        <v>110</v>
      </c>
      <c r="B120" s="35"/>
    </row>
    <row r="121" spans="1:2" s="36" customFormat="1" ht="16" x14ac:dyDescent="0.8">
      <c r="A121" s="34" t="s">
        <v>111</v>
      </c>
      <c r="B121" s="35"/>
    </row>
    <row r="122" spans="1:2" ht="16" x14ac:dyDescent="0.8">
      <c r="A122" s="5" t="s">
        <v>113</v>
      </c>
      <c r="B122" s="13"/>
    </row>
    <row r="123" spans="1:2" ht="16" x14ac:dyDescent="0.8">
      <c r="A123" s="13" t="s">
        <v>114</v>
      </c>
      <c r="B123" s="13"/>
    </row>
    <row r="124" spans="1:2" ht="16" x14ac:dyDescent="0.8">
      <c r="A124" s="13" t="s">
        <v>115</v>
      </c>
      <c r="B124" s="13"/>
    </row>
    <row r="125" spans="1:2" ht="16" x14ac:dyDescent="0.8">
      <c r="A125" s="13" t="s">
        <v>106</v>
      </c>
      <c r="B125" s="13"/>
    </row>
    <row r="126" spans="1:2" ht="16" x14ac:dyDescent="0.8">
      <c r="A126" s="13" t="s">
        <v>87</v>
      </c>
      <c r="B126" s="13"/>
    </row>
    <row r="127" spans="1:2" ht="16" x14ac:dyDescent="0.8">
      <c r="A127" s="26" t="s">
        <v>88</v>
      </c>
      <c r="B127" s="13"/>
    </row>
    <row r="128" spans="1:2" ht="16" x14ac:dyDescent="0.8">
      <c r="A128" s="13"/>
      <c r="B128" s="13"/>
    </row>
    <row r="129" spans="1:2" ht="16" x14ac:dyDescent="0.8">
      <c r="A129" s="13" t="s">
        <v>89</v>
      </c>
      <c r="B129" s="13"/>
    </row>
    <row r="130" spans="1:2" ht="16" x14ac:dyDescent="0.8">
      <c r="A130" s="26" t="s">
        <v>90</v>
      </c>
      <c r="B130" s="13"/>
    </row>
    <row r="131" spans="1:2" ht="16" x14ac:dyDescent="0.8">
      <c r="A131" s="13"/>
      <c r="B131" s="13"/>
    </row>
    <row r="132" spans="1:2" ht="16" x14ac:dyDescent="0.8">
      <c r="A132" s="13"/>
      <c r="B132" s="13"/>
    </row>
    <row r="133" spans="1:2" ht="16" x14ac:dyDescent="0.8">
      <c r="A133" s="13" t="s">
        <v>107</v>
      </c>
      <c r="B133" s="13"/>
    </row>
  </sheetData>
  <mergeCells count="18">
    <mergeCell ref="B104:C104"/>
    <mergeCell ref="A79:E79"/>
    <mergeCell ref="A80:E80"/>
    <mergeCell ref="A83:E83"/>
    <mergeCell ref="A84:E84"/>
    <mergeCell ref="A85:E85"/>
    <mergeCell ref="A78:E78"/>
    <mergeCell ref="A7:E7"/>
    <mergeCell ref="A25:E25"/>
    <mergeCell ref="A35:E35"/>
    <mergeCell ref="A42:E42"/>
    <mergeCell ref="A51:E51"/>
    <mergeCell ref="A62:E62"/>
    <mergeCell ref="A63:E63"/>
    <mergeCell ref="A64:E64"/>
    <mergeCell ref="A73:E73"/>
    <mergeCell ref="A74:E74"/>
    <mergeCell ref="A77:E77"/>
  </mergeCells>
  <phoneticPr fontId="8" type="noConversion"/>
  <conditionalFormatting sqref="A104:C104">
    <cfRule type="expression" dxfId="2" priority="1">
      <formula>$B$104="Quadratura OK"</formula>
    </cfRule>
    <cfRule type="expression" dxfId="1" priority="2">
      <formula>$B$104="Errore quadratura"</formula>
    </cfRule>
  </conditionalFormatting>
  <conditionalFormatting sqref="B14:C18 F14:G23 B28:C32 F28:G33 B38:C40 F38:G40 B45:C49 F45:G49 F54:G55 B54:C58 F63:G63 B68:C71 F68:G71 F73:G73 F78:G80 F84:G85 B89:C90 F89:G90">
    <cfRule type="expression" dxfId="0" priority="4">
      <formula>UPPER(TRIM($B$4))="SI"</formula>
    </cfRule>
  </conditionalFormatting>
  <dataValidations count="1">
    <dataValidation type="list" showInputMessage="1" showErrorMessage="1" sqref="B4" xr:uid="{79B1FB1E-D2E6-4372-8C9B-16A9C050BFAD}">
      <formula1>"Si,No"</formula1>
    </dataValidation>
  </dataValidations>
  <hyperlinks>
    <hyperlink ref="A127" r:id="rId1" tooltip="https://www.banana.ch/apps/it/it/contabilita-terzo-settore/fino-a-300000" xr:uid="{A59A2887-F854-9A4D-8B4D-BE6E12243749}"/>
    <hyperlink ref="A130" r:id="rId2" tooltip="https://www.banana.ch/it/node/9249" xr:uid="{B43AA590-682D-AE46-850F-5944AE67B430}"/>
    <hyperlink ref="A115" r:id="rId3" xr:uid="{3790B8D1-CB6E-46EF-89B8-9A24475ADEDA}"/>
    <hyperlink ref="A116" r:id="rId4" xr:uid="{FAAD52DE-39AC-4ADB-93B1-F7F1CB7B8A23}"/>
  </hyperlinks>
  <pageMargins left="0.70866141732283472" right="0.70866141732283472" top="0.74803149606299213" bottom="0.74803149606299213" header="0" footer="0.31496062992125984"/>
  <pageSetup paperSize="9" scale="51" fitToWidth="0" fitToHeight="0" orientation="portrait" r:id="rId5"/>
  <rowBreaks count="1" manualBreakCount="1">
    <brk id="97" max="6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2</vt:i4>
      </vt:variant>
    </vt:vector>
  </HeadingPairs>
  <TitlesOfParts>
    <vt:vector size="3" baseType="lpstr">
      <vt:lpstr>Foglio1</vt:lpstr>
      <vt:lpstr>Foglio1!Area_stampa</vt:lpstr>
      <vt:lpstr>ZonaInserimento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Mercurio</dc:creator>
  <cp:lastModifiedBy>Michael Mercurio</cp:lastModifiedBy>
  <cp:lastPrinted>2026-02-16T08:55:34Z</cp:lastPrinted>
  <dcterms:created xsi:type="dcterms:W3CDTF">2021-12-14T12:48:37Z</dcterms:created>
  <dcterms:modified xsi:type="dcterms:W3CDTF">2026-02-19T13:12:44Z</dcterms:modified>
</cp:coreProperties>
</file>