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mercurio\Downloads\"/>
    </mc:Choice>
  </mc:AlternateContent>
  <xr:revisionPtr revIDLastSave="0" documentId="13_ncr:1_{7D42A45A-4573-452C-9AF9-0C63E8EE5D26}" xr6:coauthVersionLast="47" xr6:coauthVersionMax="47" xr10:uidLastSave="{00000000-0000-0000-0000-000000000000}"/>
  <bookViews>
    <workbookView xWindow="57480" yWindow="-120" windowWidth="29040" windowHeight="15720" xr2:uid="{FF94FDBB-7E1C-4349-A12A-5CA933A991FE}"/>
  </bookViews>
  <sheets>
    <sheet name="Foglio1" sheetId="1" r:id="rId1"/>
  </sheets>
  <definedNames>
    <definedName name="_xlnm.Print_Area" localSheetId="0">Foglio1!$A$8:$G$139</definedName>
    <definedName name="FormatoStampa">Foglio1!#REF!</definedName>
    <definedName name="ZonaInserimento">Foglio1!$B$15:$C$19,Foglio1!$B$29:$C$33,Foglio1!$B$39:$C$41,Foglio1!$B$46:$C$50,Foglio1!$B$55:$C$59,Foglio1!$B$69:$C$72,Foglio1!$F$15:$G$24,Foglio1!$F$29:$G$34,Foglio1!$F$39:$G$41,Foglio1!$F$46:$G$50,Foglio1!$F$55:$G$56,Foglio1!$F$64:$G$64,Foglio1!$F$69:$G$72,Foglio1!$F$74:$G$74,Foglio1!$F$85:$G$86,Foglio1!$F$90:$G$91,Foglio1!$B$90:$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" i="1" l="1"/>
  <c r="C92" i="1"/>
  <c r="F92" i="1"/>
  <c r="G92" i="1"/>
  <c r="G13" i="1"/>
  <c r="C13" i="1"/>
  <c r="C89" i="1" s="1"/>
  <c r="F13" i="1"/>
  <c r="B13" i="1"/>
  <c r="F89" i="1" s="1"/>
  <c r="B89" i="1" l="1"/>
  <c r="G89" i="1"/>
  <c r="B9" i="1"/>
  <c r="F25" i="1"/>
  <c r="G25" i="1"/>
  <c r="F35" i="1"/>
  <c r="G35" i="1"/>
  <c r="F42" i="1"/>
  <c r="G42" i="1"/>
  <c r="F51" i="1"/>
  <c r="G51" i="1"/>
  <c r="F60" i="1"/>
  <c r="G60" i="1"/>
  <c r="F68" i="1"/>
  <c r="F73" i="1"/>
  <c r="G73" i="1"/>
  <c r="F78" i="1"/>
  <c r="F84" i="1"/>
  <c r="B100" i="1"/>
  <c r="B103" i="1"/>
  <c r="B68" i="1"/>
  <c r="C73" i="1"/>
  <c r="B73" i="1"/>
  <c r="C60" i="1"/>
  <c r="B60" i="1"/>
  <c r="C51" i="1"/>
  <c r="B51" i="1"/>
  <c r="C42" i="1"/>
  <c r="B42" i="1"/>
  <c r="C35" i="1"/>
  <c r="B35" i="1"/>
  <c r="C25" i="1"/>
  <c r="B25" i="1"/>
  <c r="G75" i="1" l="1"/>
  <c r="G80" i="1" s="1"/>
  <c r="F52" i="1"/>
  <c r="G52" i="1"/>
  <c r="G43" i="1"/>
  <c r="G68" i="1"/>
  <c r="C68" i="1"/>
  <c r="G84" i="1"/>
  <c r="G78" i="1"/>
  <c r="G26" i="1"/>
  <c r="F36" i="1"/>
  <c r="F26" i="1"/>
  <c r="F43" i="1"/>
  <c r="F75" i="1"/>
  <c r="F80" i="1" s="1"/>
  <c r="F62" i="1"/>
  <c r="G36" i="1"/>
  <c r="G62" i="1"/>
  <c r="B62" i="1"/>
  <c r="C62" i="1"/>
  <c r="F63" i="1" l="1"/>
  <c r="F65" i="1" s="1"/>
  <c r="F79" i="1" s="1"/>
  <c r="F81" i="1" s="1"/>
  <c r="B101" i="1" s="1"/>
  <c r="B102" i="1" s="1"/>
  <c r="B104" i="1" s="1"/>
  <c r="B105" i="1" s="1"/>
  <c r="G63" i="1"/>
  <c r="G65" i="1" s="1"/>
  <c r="G79" i="1" s="1"/>
  <c r="G81" i="1" s="1"/>
</calcChain>
</file>

<file path=xl/sharedStrings.xml><?xml version="1.0" encoding="utf-8"?>
<sst xmlns="http://schemas.openxmlformats.org/spreadsheetml/2006/main" count="150" uniqueCount="120">
  <si>
    <t xml:space="preserve"> </t>
  </si>
  <si>
    <t>Costi figurativi</t>
  </si>
  <si>
    <t>Proventi figurativi</t>
  </si>
  <si>
    <t>1) da attività di interesse generale</t>
  </si>
  <si>
    <t>2) da attività diverse</t>
  </si>
  <si>
    <t>Totale</t>
  </si>
  <si>
    <t>USCITE</t>
  </si>
  <si>
    <t>ENTRATE</t>
  </si>
  <si>
    <t>A) Uscite da attività di interesse generale</t>
  </si>
  <si>
    <t>A) Entrate da attività di interesse generale</t>
  </si>
  <si>
    <t>1) Materie prime, sussidiarie, di consumo e di merci</t>
  </si>
  <si>
    <t>1) Entrate da quote associative e apporti dei fondatori</t>
  </si>
  <si>
    <t>2) Servizi</t>
  </si>
  <si>
    <t>2) Entrate dagli associati per attività mutuali</t>
  </si>
  <si>
    <t>3) Godimento beni di terzi</t>
  </si>
  <si>
    <t>3) Entrate per prestazioni e cessioni ad associati e fondatori</t>
  </si>
  <si>
    <t>4) Personale</t>
  </si>
  <si>
    <t>4) Erogazioni liberali</t>
  </si>
  <si>
    <t>5) Uscite diverse di gestione</t>
  </si>
  <si>
    <t>5) Entrate del 5 per mille</t>
  </si>
  <si>
    <t>6) Contributi da soggetti privati</t>
  </si>
  <si>
    <t>7) Entrate per prestazioni e cessioni a terzi</t>
  </si>
  <si>
    <t>8) Contributi da enti pubblici</t>
  </si>
  <si>
    <t>9) Entrate da contratti con enti pubblici</t>
  </si>
  <si>
    <t>10) Altre entrate</t>
  </si>
  <si>
    <t>Avanzo/disavanzo attività di interesse generale (+/-)</t>
  </si>
  <si>
    <t>B) Uscite da attività diverse</t>
  </si>
  <si>
    <t>B) Entrate da attività diverse</t>
  </si>
  <si>
    <t>1) Entrate per prestazioni e cessioni ad associati e fondatori</t>
  </si>
  <si>
    <t>2) Contributi da soggetti privati</t>
  </si>
  <si>
    <t>3) Entrate per prestazioni e cessioni a terzi</t>
  </si>
  <si>
    <t>4) Contributi da enti pubblici</t>
  </si>
  <si>
    <t>5) Entrate da contratti con enti pubblici</t>
  </si>
  <si>
    <t>6) Altre entrate</t>
  </si>
  <si>
    <t>Avanzo/disavanzo attività diverse (+/-)</t>
  </si>
  <si>
    <t>C) Uscite da attività di raccolta fondi</t>
  </si>
  <si>
    <t>C) Entrate da attività di raccolta fondi</t>
  </si>
  <si>
    <t>1) Uscite per raccolte fondi abituali</t>
  </si>
  <si>
    <t>1) Entrate da raccolte fondi abituali</t>
  </si>
  <si>
    <t>2) Uscite per raccolte fondi occasionali</t>
  </si>
  <si>
    <t>2) Entrate da raccolte fondi occasionali</t>
  </si>
  <si>
    <t>3) Altre uscite</t>
  </si>
  <si>
    <t>3) Altre entrate</t>
  </si>
  <si>
    <t>Avanzo/disavanzo attività di raccolta fondi (+/-)</t>
  </si>
  <si>
    <t>D) Uscite da attività finanziarie e patrimoniali</t>
  </si>
  <si>
    <t>D) Entrate da attività finanziarie e patrimoniali</t>
  </si>
  <si>
    <t>1) Su rapporti bancari</t>
  </si>
  <si>
    <t>1) Da rapporti bancari</t>
  </si>
  <si>
    <t>2) Su investimenti finanziari</t>
  </si>
  <si>
    <t>2) Da altri investimenti finanziari</t>
  </si>
  <si>
    <t>3) Su patrimonio edilizio</t>
  </si>
  <si>
    <t>3) Da patrimonio edilizio</t>
  </si>
  <si>
    <t>4) Su altri beni patrimoniali</t>
  </si>
  <si>
    <t>4) Da altri beni patrimoniali</t>
  </si>
  <si>
    <t>5) Altre uscite</t>
  </si>
  <si>
    <t>5) Altre entrate</t>
  </si>
  <si>
    <t>Avanzo/disavanzo attività finanziarie e patrimoniali (+/-)</t>
  </si>
  <si>
    <t>E) Uscite di supporto generale</t>
  </si>
  <si>
    <t>E) Entrate di supporto generale</t>
  </si>
  <si>
    <t>1) Entrate da distacco del personale</t>
  </si>
  <si>
    <t>2) Altre entrate di supporto generale</t>
  </si>
  <si>
    <t>TOTALE ONERI E COSTI</t>
  </si>
  <si>
    <t>Avanzo/disavanzo d’esercizio prima delle imposte (+/-)</t>
  </si>
  <si>
    <t>Imposte</t>
  </si>
  <si>
    <t>Avanzo/disavanzo d’esercizio prima di investimenti e disinvestimenti patrimoniali e finanziamenti (+/-)</t>
  </si>
  <si>
    <t>Uscite da investimenti in immobilizzazioni o da deflussi di capitale di terzi</t>
  </si>
  <si>
    <t>Entrate da disinvestimenti in immobilizzazioni o da flussi di capitale di terzi</t>
  </si>
  <si>
    <t>1) Investimenti in immobilizzazioni inerenti alle attività di interesse generale</t>
  </si>
  <si>
    <t>1) Disinvestimenti di immobilizzazioni inerenti alle attività di interesse generale</t>
  </si>
  <si>
    <t>2) Investimenti in immobilizzazioni inerenti alle attività diverse</t>
  </si>
  <si>
    <t>2) Disinvestimenti di immobilizzazioni inerenti alle attività diverse</t>
  </si>
  <si>
    <t>3) Investimenti in attività finanziarie e patrimoniali</t>
  </si>
  <si>
    <t>3) Disinvestimenti di attività finanziarie e patrimoniali</t>
  </si>
  <si>
    <t>4) Rimborso di finanziamenti per quota capitale e di prestiti</t>
  </si>
  <si>
    <t>4) Ricevimento di finanziamenti e di prestiti</t>
  </si>
  <si>
    <t>Avanzo/disavanzo da entrate e uscite per investimenti e disinvestimenti patrimoniali e finanziamenti (+/-)</t>
  </si>
  <si>
    <t>Avanzo/disavanzo complessivo (+/-)</t>
  </si>
  <si>
    <t>Cassa e banca</t>
  </si>
  <si>
    <t>Cassa</t>
  </si>
  <si>
    <t>Depositi bancari e postali</t>
  </si>
  <si>
    <t>TOTALE ENTRATE DELLA GESTIONE</t>
  </si>
  <si>
    <t>Cassa e Banca anno precedente</t>
  </si>
  <si>
    <t>Avanzo/Disavanzo corrente</t>
  </si>
  <si>
    <t>Cassa e Banca anno corrente</t>
  </si>
  <si>
    <t>Esito controllo</t>
  </si>
  <si>
    <t>RENDICONTO PER CASSA</t>
  </si>
  <si>
    <t xml:space="preserve">ASSOCIAZIONE XX </t>
  </si>
  <si>
    <t>Maggiori informazioni:</t>
  </si>
  <si>
    <t>https://www.banana.ch/apps/it/it/contabilita-terzo-settore/fino-a-300000</t>
  </si>
  <si>
    <t>Mettiamo a disposizione questo modello Excel senza responsabilità, come previsto dai nostri Termini e Condizioni d'uso:</t>
  </si>
  <si>
    <t>https://www.banana.ch/it/node/9249</t>
  </si>
  <si>
    <t>Data fine anno corrente</t>
  </si>
  <si>
    <t>Data fine anno precedente</t>
  </si>
  <si>
    <t>https://www.lavoro.gov.it/documenti-e-norme/normative/Documents/2020/DM-05032020-Adozione-modulistica-di-bilancioi-Enti-del-Terzo-Settore.pdf</t>
  </si>
  <si>
    <t xml:space="preserve">Impostazioni </t>
  </si>
  <si>
    <t>Colora celle inserimento valori (per stampa No)</t>
  </si>
  <si>
    <t>Differenza (deve essere zero)</t>
  </si>
  <si>
    <t>Totale Cassa e Banca più Avanzo/Disavanzo</t>
  </si>
  <si>
    <t>CONTROLLO QUADRATURA</t>
  </si>
  <si>
    <t>https://www.lavoro.gov.it/temi-e-priorita-orientamento-e-formazione/normativa/allegato-3-alle-linee-guida</t>
  </si>
  <si>
    <t>Ministero del Lavoro e delle Politiche Sociali</t>
  </si>
  <si>
    <t xml:space="preserve">Costi e proventi figurativi: inserimento facoltativo.   Se non interessa Eliminare le relative righe </t>
  </si>
  <si>
    <t xml:space="preserve">Prima del "controllo di quadratura" aggiungere eventuale data di approvazione e nomi dei dirigenti per la firma </t>
  </si>
  <si>
    <t>Importi in Euro</t>
  </si>
  <si>
    <t>Note / Personalizzazioni</t>
  </si>
  <si>
    <t>Facile da usare (Simile a Excel) e gratuito fino a 70 registrazioni.</t>
  </si>
  <si>
    <t>Copyright Banana.ch SA 2022-2026</t>
  </si>
  <si>
    <t>Personalizzare il foglio come si desidera. Attenzione a non sovrascrivere le celle con le formule</t>
  </si>
  <si>
    <t>Si</t>
  </si>
  <si>
    <t>Ogni ente è obbligato a mantenere una raccolta completa e ordinata dei documenti (fatture, ricevute e altri documenti), conservandoli in modo sistematico e facilmente reperibile.</t>
  </si>
  <si>
    <t>Una raccolta ordinata dei documenti non è però sufficiente, in molti casi è utile fare anche la registrazione cronologica e sistematica dei movimenti.</t>
  </si>
  <si>
    <t>Banana Contabilità</t>
  </si>
  <si>
    <r>
      <rPr>
        <sz val="12"/>
        <color theme="1"/>
        <rFont val="Calibri"/>
        <family val="2"/>
        <scheme val="minor"/>
      </rPr>
      <t>Con Banana Contabilità questo passo</t>
    </r>
    <r>
      <rPr>
        <b/>
        <sz val="12"/>
        <color theme="1"/>
        <rFont val="Calibri"/>
        <family val="2"/>
        <scheme val="minor"/>
      </rPr>
      <t xml:space="preserve"> è molto semplice e veloce:</t>
    </r>
  </si>
  <si>
    <t>Ti permette di fare la registrazione cronologica e sistematica dei movimenti (collegandoli ai documenti), una prima nota.</t>
  </si>
  <si>
    <t>In questo modo potrai anche ottenere in automatico il Rendiconto per cassa e altri rendiconti.</t>
  </si>
  <si>
    <t>ETS fino a 60.000 €</t>
  </si>
  <si>
    <t>https://www.banana.ch/apps/it/node/10168</t>
  </si>
  <si>
    <t>Per Micro ETS fino a 60.000 €, mettiamo a disposizione anche il modello Excel del Rendiconto per cassa in forma aggregata (Modello E):</t>
  </si>
  <si>
    <t>Rendiconto per Cassa secondo modello D. (vedi pagina 13 del documento qui sotto)</t>
  </si>
  <si>
    <t>Rendiconto per Cassa ETS secondo modello D. del Ministero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</si>
</sst>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6" fillId="2" borderId="0" xfId="0" applyFont="1" applyFill="1" applyAlignment="1">
      <alignment wrapText="1"/>
    </xf>
    <xf numFmtId="2" fontId="0" fillId="0" borderId="0" xfId="0" applyNumberFormat="1"/>
    <xf numFmtId="0" fontId="2" fillId="0" borderId="0" xfId="0" applyFont="1" applyAlignment="1">
      <alignment horizontal="right"/>
    </xf>
    <xf numFmtId="2" fontId="2" fillId="0" borderId="0" xfId="0" applyNumberFormat="1" applyFont="1"/>
    <xf numFmtId="0" fontId="1" fillId="0" borderId="0" xfId="0" applyFont="1"/>
    <xf numFmtId="2" fontId="1" fillId="0" borderId="0" xfId="0" applyNumberFormat="1" applyFont="1"/>
    <xf numFmtId="0" fontId="1" fillId="3" borderId="0" xfId="0" applyFont="1" applyFill="1"/>
    <xf numFmtId="164" fontId="6" fillId="2" borderId="0" xfId="0" applyNumberFormat="1" applyFont="1" applyFill="1" applyAlignment="1">
      <alignment horizontal="right" vertical="top"/>
    </xf>
    <xf numFmtId="164" fontId="6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165" fontId="0" fillId="0" borderId="0" xfId="0" applyNumberFormat="1"/>
    <xf numFmtId="2" fontId="7" fillId="0" borderId="0" xfId="0" applyNumberFormat="1" applyFont="1"/>
    <xf numFmtId="165" fontId="4" fillId="0" borderId="0" xfId="0" applyNumberFormat="1" applyFont="1"/>
    <xf numFmtId="164" fontId="9" fillId="0" borderId="0" xfId="0" applyNumberFormat="1" applyFont="1" applyAlignment="1">
      <alignment horizontal="left" vertical="top"/>
    </xf>
    <xf numFmtId="0" fontId="10" fillId="0" borderId="0" xfId="0" applyFont="1"/>
    <xf numFmtId="0" fontId="2" fillId="0" borderId="0" xfId="0" applyFont="1" applyAlignment="1">
      <alignment horizontal="left"/>
    </xf>
    <xf numFmtId="2" fontId="5" fillId="0" borderId="0" xfId="0" applyNumberFormat="1" applyFont="1"/>
    <xf numFmtId="0" fontId="12" fillId="0" borderId="0" xfId="1" applyFont="1"/>
    <xf numFmtId="0" fontId="11" fillId="0" borderId="0" xfId="1"/>
    <xf numFmtId="0" fontId="13" fillId="0" borderId="0" xfId="1" applyFont="1"/>
    <xf numFmtId="0" fontId="13" fillId="0" borderId="0" xfId="0" applyFont="1"/>
    <xf numFmtId="0" fontId="14" fillId="0" borderId="0" xfId="0" applyFont="1"/>
    <xf numFmtId="0" fontId="9" fillId="0" borderId="0" xfId="1" applyFont="1"/>
    <xf numFmtId="0" fontId="9" fillId="0" borderId="0" xfId="0" applyFont="1"/>
    <xf numFmtId="0" fontId="1" fillId="3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6" fillId="2" borderId="0" xfId="0" applyFont="1" applyFill="1"/>
    <xf numFmtId="0" fontId="0" fillId="0" borderId="0" xfId="0"/>
    <xf numFmtId="0" fontId="4" fillId="0" borderId="0" xfId="0" applyFont="1"/>
    <xf numFmtId="0" fontId="3" fillId="2" borderId="0" xfId="0" applyFont="1" applyFill="1"/>
  </cellXfs>
  <cellStyles count="2">
    <cellStyle name="Collegamento ipertestuale" xfId="1" builtinId="8"/>
    <cellStyle name="Normale" xfId="0" builtinId="0"/>
  </cellStyles>
  <dxfs count="3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voro.gov.it/documenti-e-norme/normative/Documents/2020/DM-05032020-Adozione-modulistica-di-bilancioi-Enti-del-Terzo-Settore.pdf" TargetMode="External"/><Relationship Id="rId2" Type="http://schemas.openxmlformats.org/officeDocument/2006/relationships/hyperlink" Target="https://www.banana.ch/it/node/9249" TargetMode="External"/><Relationship Id="rId1" Type="http://schemas.openxmlformats.org/officeDocument/2006/relationships/hyperlink" Target="https://www.banana.ch/apps/it/it/contabilita-terzo-settore/fino-a-30000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anana.ch/apps/it/node/10168" TargetMode="External"/><Relationship Id="rId4" Type="http://schemas.openxmlformats.org/officeDocument/2006/relationships/hyperlink" Target="https://www.lavoro.gov.it/temi-e-priorita-orientamento-e-formazione/normativa/allegato-3-alle-linee-gui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1BA8-36CC-4DBE-B6A9-97354061FBEE}">
  <dimension ref="A1:I139"/>
  <sheetViews>
    <sheetView tabSelected="1" zoomScaleNormal="100" workbookViewId="0">
      <selection activeCell="C1" sqref="C1"/>
    </sheetView>
  </sheetViews>
  <sheetFormatPr defaultColWidth="8.81640625" defaultRowHeight="14.75" x14ac:dyDescent="0.75"/>
  <cols>
    <col min="1" max="1" width="45.6796875" customWidth="1"/>
    <col min="2" max="2" width="16.6796875" customWidth="1"/>
    <col min="3" max="3" width="19.81640625" customWidth="1"/>
    <col min="4" max="4" width="6.1796875" customWidth="1"/>
    <col min="5" max="5" width="52.31640625" customWidth="1"/>
    <col min="6" max="6" width="15.1796875" customWidth="1"/>
    <col min="7" max="7" width="14.6796875" customWidth="1"/>
    <col min="8" max="9" width="9.81640625" bestFit="1" customWidth="1"/>
  </cols>
  <sheetData>
    <row r="1" spans="1:7" x14ac:dyDescent="0.75">
      <c r="A1" s="4" t="s">
        <v>119</v>
      </c>
    </row>
    <row r="2" spans="1:7" x14ac:dyDescent="0.75">
      <c r="A2" s="24" t="s">
        <v>94</v>
      </c>
    </row>
    <row r="3" spans="1:7" ht="16" x14ac:dyDescent="0.75">
      <c r="A3" t="s">
        <v>91</v>
      </c>
      <c r="B3" s="22">
        <v>46387</v>
      </c>
    </row>
    <row r="4" spans="1:7" ht="16" x14ac:dyDescent="0.75">
      <c r="A4" t="s">
        <v>92</v>
      </c>
      <c r="B4" s="22">
        <v>46022</v>
      </c>
    </row>
    <row r="5" spans="1:7" x14ac:dyDescent="0.75">
      <c r="A5" t="s">
        <v>95</v>
      </c>
      <c r="B5" s="23" t="s">
        <v>108</v>
      </c>
    </row>
    <row r="8" spans="1:7" s="3" customFormat="1" ht="21" x14ac:dyDescent="1">
      <c r="A8" s="37" t="s">
        <v>86</v>
      </c>
      <c r="B8" s="36"/>
      <c r="C8" s="36"/>
      <c r="D8" s="36"/>
      <c r="E8" s="36"/>
    </row>
    <row r="9" spans="1:7" ht="21" x14ac:dyDescent="1">
      <c r="A9" s="3" t="s">
        <v>85</v>
      </c>
      <c r="B9" s="21">
        <f>B3</f>
        <v>46387</v>
      </c>
    </row>
    <row r="10" spans="1:7" ht="21" x14ac:dyDescent="1">
      <c r="A10" t="s">
        <v>103</v>
      </c>
      <c r="B10" s="21"/>
    </row>
    <row r="11" spans="1:7" x14ac:dyDescent="0.75">
      <c r="B11" s="19"/>
    </row>
    <row r="12" spans="1:7" x14ac:dyDescent="0.75">
      <c r="B12" s="19"/>
    </row>
    <row r="13" spans="1:7" s="5" customFormat="1" ht="16" x14ac:dyDescent="0.8">
      <c r="A13" s="6" t="s">
        <v>6</v>
      </c>
      <c r="B13" s="16">
        <f>B3</f>
        <v>46387</v>
      </c>
      <c r="C13" s="16">
        <f>B4</f>
        <v>46022</v>
      </c>
      <c r="E13" s="6" t="s">
        <v>7</v>
      </c>
      <c r="F13" s="16">
        <f>B3</f>
        <v>46387</v>
      </c>
      <c r="G13" s="16">
        <f>B4</f>
        <v>46022</v>
      </c>
    </row>
    <row r="14" spans="1:7" s="4" customFormat="1" x14ac:dyDescent="0.75">
      <c r="A14" s="4" t="s">
        <v>8</v>
      </c>
      <c r="E14" s="4" t="s">
        <v>9</v>
      </c>
      <c r="F14" s="18"/>
      <c r="G14" s="18"/>
    </row>
    <row r="15" spans="1:7" x14ac:dyDescent="0.75">
      <c r="A15" t="s">
        <v>10</v>
      </c>
      <c r="B15" s="20">
        <v>0</v>
      </c>
      <c r="C15" s="20">
        <v>0</v>
      </c>
      <c r="E15" t="s">
        <v>11</v>
      </c>
      <c r="F15" s="20">
        <v>0</v>
      </c>
      <c r="G15" s="20">
        <v>0</v>
      </c>
    </row>
    <row r="16" spans="1:7" x14ac:dyDescent="0.75">
      <c r="A16" t="s">
        <v>12</v>
      </c>
      <c r="B16" s="20">
        <v>0</v>
      </c>
      <c r="C16" s="20">
        <v>0</v>
      </c>
      <c r="E16" t="s">
        <v>13</v>
      </c>
      <c r="F16" s="20">
        <v>0</v>
      </c>
      <c r="G16" s="20">
        <v>0</v>
      </c>
    </row>
    <row r="17" spans="1:7" x14ac:dyDescent="0.75">
      <c r="A17" t="s">
        <v>14</v>
      </c>
      <c r="B17" s="20">
        <v>0</v>
      </c>
      <c r="C17" s="20">
        <v>0</v>
      </c>
      <c r="E17" t="s">
        <v>15</v>
      </c>
      <c r="F17" s="20">
        <v>0</v>
      </c>
      <c r="G17" s="20">
        <v>0</v>
      </c>
    </row>
    <row r="18" spans="1:7" x14ac:dyDescent="0.75">
      <c r="A18" t="s">
        <v>16</v>
      </c>
      <c r="B18" s="20">
        <v>0</v>
      </c>
      <c r="C18" s="20">
        <v>0</v>
      </c>
      <c r="E18" t="s">
        <v>17</v>
      </c>
      <c r="F18" s="20">
        <v>0</v>
      </c>
      <c r="G18" s="20">
        <v>0</v>
      </c>
    </row>
    <row r="19" spans="1:7" x14ac:dyDescent="0.75">
      <c r="A19" t="s">
        <v>18</v>
      </c>
      <c r="B19" s="20">
        <v>0</v>
      </c>
      <c r="C19" s="20">
        <v>0</v>
      </c>
      <c r="E19" t="s">
        <v>19</v>
      </c>
      <c r="F19" s="20">
        <v>0</v>
      </c>
      <c r="G19" s="20">
        <v>0</v>
      </c>
    </row>
    <row r="20" spans="1:7" x14ac:dyDescent="0.75">
      <c r="E20" t="s">
        <v>20</v>
      </c>
      <c r="F20" s="20">
        <v>0</v>
      </c>
      <c r="G20" s="20">
        <v>0</v>
      </c>
    </row>
    <row r="21" spans="1:7" x14ac:dyDescent="0.75">
      <c r="E21" t="s">
        <v>21</v>
      </c>
      <c r="F21" s="20">
        <v>0</v>
      </c>
      <c r="G21" s="20">
        <v>0</v>
      </c>
    </row>
    <row r="22" spans="1:7" x14ac:dyDescent="0.75">
      <c r="E22" t="s">
        <v>22</v>
      </c>
      <c r="F22" s="20">
        <v>0</v>
      </c>
      <c r="G22" s="20">
        <v>0</v>
      </c>
    </row>
    <row r="23" spans="1:7" x14ac:dyDescent="0.75">
      <c r="E23" t="s">
        <v>23</v>
      </c>
      <c r="F23" s="20">
        <v>0</v>
      </c>
      <c r="G23" s="20">
        <v>0</v>
      </c>
    </row>
    <row r="24" spans="1:7" x14ac:dyDescent="0.75">
      <c r="E24" t="s">
        <v>24</v>
      </c>
      <c r="F24" s="20">
        <v>0</v>
      </c>
      <c r="G24" s="20">
        <v>0</v>
      </c>
    </row>
    <row r="25" spans="1:7" x14ac:dyDescent="0.75">
      <c r="A25" s="11" t="s">
        <v>5</v>
      </c>
      <c r="B25" s="12">
        <f>SUM(B15:B19)</f>
        <v>0</v>
      </c>
      <c r="C25" s="12">
        <f>SUM(C15:C19)</f>
        <v>0</v>
      </c>
      <c r="D25" s="4"/>
      <c r="E25" s="11" t="s">
        <v>5</v>
      </c>
      <c r="F25" s="12">
        <f>SUM(F15:F24)</f>
        <v>0</v>
      </c>
      <c r="G25" s="12">
        <f>SUM(G15:G24)</f>
        <v>0</v>
      </c>
    </row>
    <row r="26" spans="1:7" x14ac:dyDescent="0.75">
      <c r="A26" s="34" t="s">
        <v>25</v>
      </c>
      <c r="B26" s="34"/>
      <c r="C26" s="34"/>
      <c r="D26" s="34"/>
      <c r="E26" s="34"/>
      <c r="F26" s="10">
        <f>F25-B25</f>
        <v>0</v>
      </c>
      <c r="G26" s="10">
        <f>G25-C25</f>
        <v>0</v>
      </c>
    </row>
    <row r="27" spans="1:7" x14ac:dyDescent="0.75">
      <c r="A27" s="7"/>
      <c r="B27" s="7"/>
      <c r="C27" s="7"/>
      <c r="D27" s="7"/>
      <c r="E27" s="7"/>
    </row>
    <row r="28" spans="1:7" x14ac:dyDescent="0.75">
      <c r="A28" s="4" t="s">
        <v>26</v>
      </c>
      <c r="E28" s="4" t="s">
        <v>27</v>
      </c>
    </row>
    <row r="29" spans="1:7" x14ac:dyDescent="0.75">
      <c r="A29" t="s">
        <v>10</v>
      </c>
      <c r="B29" s="20">
        <v>0</v>
      </c>
      <c r="C29" s="20">
        <v>0</v>
      </c>
      <c r="E29" t="s">
        <v>28</v>
      </c>
      <c r="F29" s="20">
        <v>0</v>
      </c>
      <c r="G29" s="20">
        <v>0</v>
      </c>
    </row>
    <row r="30" spans="1:7" x14ac:dyDescent="0.75">
      <c r="A30" t="s">
        <v>12</v>
      </c>
      <c r="B30" s="20">
        <v>0</v>
      </c>
      <c r="C30" s="20">
        <v>0</v>
      </c>
      <c r="E30" t="s">
        <v>29</v>
      </c>
      <c r="F30" s="20">
        <v>0</v>
      </c>
      <c r="G30" s="20">
        <v>0</v>
      </c>
    </row>
    <row r="31" spans="1:7" x14ac:dyDescent="0.75">
      <c r="A31" t="s">
        <v>14</v>
      </c>
      <c r="B31" s="20">
        <v>0</v>
      </c>
      <c r="C31" s="20">
        <v>0</v>
      </c>
      <c r="E31" t="s">
        <v>30</v>
      </c>
      <c r="F31" s="20">
        <v>0</v>
      </c>
      <c r="G31" s="20">
        <v>0</v>
      </c>
    </row>
    <row r="32" spans="1:7" x14ac:dyDescent="0.75">
      <c r="A32" t="s">
        <v>16</v>
      </c>
      <c r="B32" s="20">
        <v>0</v>
      </c>
      <c r="C32" s="20">
        <v>0</v>
      </c>
      <c r="E32" t="s">
        <v>31</v>
      </c>
      <c r="F32" s="20">
        <v>0</v>
      </c>
      <c r="G32" s="20">
        <v>0</v>
      </c>
    </row>
    <row r="33" spans="1:7" x14ac:dyDescent="0.75">
      <c r="A33" t="s">
        <v>18</v>
      </c>
      <c r="B33" s="20">
        <v>0</v>
      </c>
      <c r="C33" s="20">
        <v>0</v>
      </c>
      <c r="E33" t="s">
        <v>32</v>
      </c>
      <c r="F33" s="20">
        <v>0</v>
      </c>
      <c r="G33" s="20">
        <v>0</v>
      </c>
    </row>
    <row r="34" spans="1:7" x14ac:dyDescent="0.75">
      <c r="E34" t="s">
        <v>33</v>
      </c>
      <c r="F34" s="20">
        <v>0</v>
      </c>
      <c r="G34" s="20">
        <v>0</v>
      </c>
    </row>
    <row r="35" spans="1:7" x14ac:dyDescent="0.75">
      <c r="A35" s="11" t="s">
        <v>5</v>
      </c>
      <c r="B35" s="12">
        <f>SUM(B29:B33)</f>
        <v>0</v>
      </c>
      <c r="C35" s="12">
        <f>SUM(C29:C33)</f>
        <v>0</v>
      </c>
      <c r="D35" s="4"/>
      <c r="E35" s="11" t="s">
        <v>5</v>
      </c>
      <c r="F35" s="12">
        <f>SUM(F29:F34)</f>
        <v>0</v>
      </c>
      <c r="G35" s="12">
        <f>SUM(G29:G34)</f>
        <v>0</v>
      </c>
    </row>
    <row r="36" spans="1:7" x14ac:dyDescent="0.75">
      <c r="A36" s="34" t="s">
        <v>34</v>
      </c>
      <c r="B36" s="34"/>
      <c r="C36" s="34"/>
      <c r="D36" s="34"/>
      <c r="E36" s="34"/>
      <c r="F36" s="10">
        <f>F35-B35</f>
        <v>0</v>
      </c>
      <c r="G36" s="10">
        <f>G35-C35</f>
        <v>0</v>
      </c>
    </row>
    <row r="37" spans="1:7" x14ac:dyDescent="0.75">
      <c r="A37" s="7"/>
      <c r="B37" s="7"/>
      <c r="C37" s="7"/>
      <c r="D37" s="7"/>
      <c r="E37" s="7"/>
    </row>
    <row r="38" spans="1:7" x14ac:dyDescent="0.75">
      <c r="A38" s="4" t="s">
        <v>35</v>
      </c>
      <c r="E38" s="4" t="s">
        <v>36</v>
      </c>
    </row>
    <row r="39" spans="1:7" x14ac:dyDescent="0.75">
      <c r="A39" t="s">
        <v>37</v>
      </c>
      <c r="B39" s="20">
        <v>0</v>
      </c>
      <c r="C39" s="20">
        <v>0</v>
      </c>
      <c r="E39" t="s">
        <v>38</v>
      </c>
      <c r="F39" s="20">
        <v>0</v>
      </c>
      <c r="G39" s="20">
        <v>0</v>
      </c>
    </row>
    <row r="40" spans="1:7" x14ac:dyDescent="0.75">
      <c r="A40" t="s">
        <v>39</v>
      </c>
      <c r="B40" s="20">
        <v>0</v>
      </c>
      <c r="C40" s="20">
        <v>0</v>
      </c>
      <c r="E40" t="s">
        <v>40</v>
      </c>
      <c r="F40" s="20">
        <v>0</v>
      </c>
      <c r="G40" s="20">
        <v>0</v>
      </c>
    </row>
    <row r="41" spans="1:7" x14ac:dyDescent="0.75">
      <c r="A41" t="s">
        <v>41</v>
      </c>
      <c r="B41" s="20">
        <v>0</v>
      </c>
      <c r="C41" s="20">
        <v>0</v>
      </c>
      <c r="E41" t="s">
        <v>42</v>
      </c>
      <c r="F41" s="20">
        <v>0</v>
      </c>
      <c r="G41" s="20">
        <v>0</v>
      </c>
    </row>
    <row r="42" spans="1:7" x14ac:dyDescent="0.75">
      <c r="A42" s="11" t="s">
        <v>5</v>
      </c>
      <c r="B42" s="12">
        <f>SUM(B39:B41)</f>
        <v>0</v>
      </c>
      <c r="C42" s="12">
        <f>SUM(C39:C41)</f>
        <v>0</v>
      </c>
      <c r="D42" s="4"/>
      <c r="E42" s="11" t="s">
        <v>5</v>
      </c>
      <c r="F42" s="12">
        <f>SUM(F39:F41)</f>
        <v>0</v>
      </c>
      <c r="G42" s="12">
        <f>SUM(G39:G41)</f>
        <v>0</v>
      </c>
    </row>
    <row r="43" spans="1:7" x14ac:dyDescent="0.75">
      <c r="A43" s="34" t="s">
        <v>43</v>
      </c>
      <c r="B43" s="34"/>
      <c r="C43" s="34"/>
      <c r="D43" s="34"/>
      <c r="E43" s="34"/>
      <c r="F43" s="10">
        <f>F42-B42</f>
        <v>0</v>
      </c>
      <c r="G43" s="10">
        <f>G42-C42</f>
        <v>0</v>
      </c>
    </row>
    <row r="44" spans="1:7" x14ac:dyDescent="0.75">
      <c r="A44" s="7"/>
      <c r="B44" s="7"/>
      <c r="C44" s="7"/>
      <c r="D44" s="7"/>
      <c r="E44" s="7"/>
    </row>
    <row r="45" spans="1:7" x14ac:dyDescent="0.75">
      <c r="A45" s="4" t="s">
        <v>44</v>
      </c>
      <c r="E45" s="4" t="s">
        <v>45</v>
      </c>
    </row>
    <row r="46" spans="1:7" x14ac:dyDescent="0.75">
      <c r="A46" t="s">
        <v>46</v>
      </c>
      <c r="B46" s="20">
        <v>0</v>
      </c>
      <c r="C46" s="20">
        <v>0</v>
      </c>
      <c r="E46" t="s">
        <v>47</v>
      </c>
      <c r="F46" s="20">
        <v>0</v>
      </c>
      <c r="G46" s="20">
        <v>0</v>
      </c>
    </row>
    <row r="47" spans="1:7" x14ac:dyDescent="0.75">
      <c r="A47" t="s">
        <v>48</v>
      </c>
      <c r="B47" s="20">
        <v>0</v>
      </c>
      <c r="C47" s="20">
        <v>0</v>
      </c>
      <c r="E47" t="s">
        <v>49</v>
      </c>
      <c r="F47" s="20">
        <v>0</v>
      </c>
      <c r="G47" s="20">
        <v>0</v>
      </c>
    </row>
    <row r="48" spans="1:7" x14ac:dyDescent="0.75">
      <c r="A48" t="s">
        <v>50</v>
      </c>
      <c r="B48" s="20">
        <v>0</v>
      </c>
      <c r="C48" s="20">
        <v>0</v>
      </c>
      <c r="E48" t="s">
        <v>51</v>
      </c>
      <c r="F48" s="20">
        <v>0</v>
      </c>
      <c r="G48" s="20">
        <v>0</v>
      </c>
    </row>
    <row r="49" spans="1:7" x14ac:dyDescent="0.75">
      <c r="A49" t="s">
        <v>52</v>
      </c>
      <c r="B49" s="20">
        <v>0</v>
      </c>
      <c r="C49" s="20">
        <v>0</v>
      </c>
      <c r="E49" t="s">
        <v>53</v>
      </c>
      <c r="F49" s="20">
        <v>0</v>
      </c>
      <c r="G49" s="20">
        <v>0</v>
      </c>
    </row>
    <row r="50" spans="1:7" x14ac:dyDescent="0.75">
      <c r="A50" t="s">
        <v>54</v>
      </c>
      <c r="B50" s="20">
        <v>0</v>
      </c>
      <c r="C50" s="20">
        <v>0</v>
      </c>
      <c r="E50" t="s">
        <v>55</v>
      </c>
      <c r="F50" s="20">
        <v>0</v>
      </c>
      <c r="G50" s="20">
        <v>0</v>
      </c>
    </row>
    <row r="51" spans="1:7" x14ac:dyDescent="0.75">
      <c r="A51" s="11" t="s">
        <v>5</v>
      </c>
      <c r="B51" s="12">
        <f>SUM(B46:B50)</f>
        <v>0</v>
      </c>
      <c r="C51" s="12">
        <f>SUM(C46:C50)</f>
        <v>0</v>
      </c>
      <c r="D51" s="4"/>
      <c r="E51" s="11" t="s">
        <v>5</v>
      </c>
      <c r="F51" s="12">
        <f>SUM(F46:F50)</f>
        <v>0</v>
      </c>
      <c r="G51" s="12">
        <f>SUM(G46:G50)</f>
        <v>0</v>
      </c>
    </row>
    <row r="52" spans="1:7" x14ac:dyDescent="0.75">
      <c r="A52" s="34" t="s">
        <v>56</v>
      </c>
      <c r="B52" s="34"/>
      <c r="C52" s="34"/>
      <c r="D52" s="34"/>
      <c r="E52" s="34"/>
      <c r="F52" s="10">
        <f>F51-B51</f>
        <v>0</v>
      </c>
      <c r="G52" s="10">
        <f>G51-C51</f>
        <v>0</v>
      </c>
    </row>
    <row r="54" spans="1:7" x14ac:dyDescent="0.75">
      <c r="A54" s="4" t="s">
        <v>57</v>
      </c>
      <c r="E54" s="4" t="s">
        <v>58</v>
      </c>
    </row>
    <row r="55" spans="1:7" x14ac:dyDescent="0.75">
      <c r="A55" t="s">
        <v>10</v>
      </c>
      <c r="B55" s="20">
        <v>0</v>
      </c>
      <c r="C55" s="20">
        <v>0</v>
      </c>
      <c r="E55" t="s">
        <v>59</v>
      </c>
      <c r="F55" s="20">
        <v>0</v>
      </c>
      <c r="G55" s="20">
        <v>0</v>
      </c>
    </row>
    <row r="56" spans="1:7" x14ac:dyDescent="0.75">
      <c r="A56" t="s">
        <v>12</v>
      </c>
      <c r="B56" s="20">
        <v>0</v>
      </c>
      <c r="C56" s="20">
        <v>0</v>
      </c>
      <c r="E56" t="s">
        <v>60</v>
      </c>
      <c r="F56" s="20">
        <v>0</v>
      </c>
      <c r="G56" s="20">
        <v>0</v>
      </c>
    </row>
    <row r="57" spans="1:7" x14ac:dyDescent="0.75">
      <c r="A57" t="s">
        <v>14</v>
      </c>
      <c r="B57" s="20">
        <v>0</v>
      </c>
      <c r="C57" s="20">
        <v>0</v>
      </c>
    </row>
    <row r="58" spans="1:7" x14ac:dyDescent="0.75">
      <c r="A58" t="s">
        <v>16</v>
      </c>
      <c r="B58" s="20">
        <v>0</v>
      </c>
      <c r="C58" s="20">
        <v>0</v>
      </c>
    </row>
    <row r="59" spans="1:7" x14ac:dyDescent="0.75">
      <c r="A59" t="s">
        <v>54</v>
      </c>
      <c r="B59" s="20">
        <v>0</v>
      </c>
      <c r="C59" s="20">
        <v>0</v>
      </c>
    </row>
    <row r="60" spans="1:7" x14ac:dyDescent="0.75">
      <c r="A60" s="11" t="s">
        <v>5</v>
      </c>
      <c r="B60" s="12">
        <f>SUM(B55:B59)</f>
        <v>0</v>
      </c>
      <c r="C60" s="12">
        <f>SUM(C55:C59)</f>
        <v>0</v>
      </c>
      <c r="D60" s="4"/>
      <c r="E60" s="11" t="s">
        <v>5</v>
      </c>
      <c r="F60" s="12">
        <f>SUM(F55:F56)</f>
        <v>0</v>
      </c>
      <c r="G60" s="12">
        <f>SUM(G55:G56)</f>
        <v>0</v>
      </c>
    </row>
    <row r="61" spans="1:7" x14ac:dyDescent="0.75">
      <c r="A61" s="7"/>
      <c r="E61" s="7"/>
    </row>
    <row r="62" spans="1:7" x14ac:dyDescent="0.75">
      <c r="A62" s="4" t="s">
        <v>61</v>
      </c>
      <c r="B62" s="12">
        <f>B25+B35+B42+B51+B60</f>
        <v>0</v>
      </c>
      <c r="C62" s="12">
        <f>C25+C35+C42+C51+C60</f>
        <v>0</v>
      </c>
      <c r="E62" s="4" t="s">
        <v>80</v>
      </c>
      <c r="F62" s="12">
        <f>F25+F35+F42+F51+F60</f>
        <v>0</v>
      </c>
      <c r="G62" s="12">
        <f>G25+G35+G42+G51+G60</f>
        <v>0</v>
      </c>
    </row>
    <row r="63" spans="1:7" x14ac:dyDescent="0.75">
      <c r="A63" s="34" t="s">
        <v>62</v>
      </c>
      <c r="B63" s="34"/>
      <c r="C63" s="34"/>
      <c r="D63" s="34"/>
      <c r="E63" s="34"/>
      <c r="F63" s="10">
        <f>F62-B62</f>
        <v>0</v>
      </c>
      <c r="G63" s="10">
        <f>G62-C62</f>
        <v>0</v>
      </c>
    </row>
    <row r="64" spans="1:7" x14ac:dyDescent="0.75">
      <c r="A64" s="34" t="s">
        <v>63</v>
      </c>
      <c r="B64" s="34"/>
      <c r="C64" s="34"/>
      <c r="D64" s="34"/>
      <c r="E64" s="34"/>
      <c r="F64" s="10">
        <v>0</v>
      </c>
      <c r="G64" s="10">
        <v>0</v>
      </c>
    </row>
    <row r="65" spans="1:7" x14ac:dyDescent="0.75">
      <c r="A65" s="34" t="s">
        <v>64</v>
      </c>
      <c r="B65" s="34"/>
      <c r="C65" s="34"/>
      <c r="D65" s="34"/>
      <c r="E65" s="34"/>
      <c r="F65" s="10">
        <f>F63-F64</f>
        <v>0</v>
      </c>
      <c r="G65" s="10">
        <f>G63-G64</f>
        <v>0</v>
      </c>
    </row>
    <row r="66" spans="1:7" x14ac:dyDescent="0.75">
      <c r="A66" s="7"/>
      <c r="B66" s="7"/>
      <c r="C66" s="7"/>
      <c r="D66" s="7"/>
      <c r="E66" s="7"/>
    </row>
    <row r="67" spans="1:7" x14ac:dyDescent="0.75">
      <c r="A67" t="s">
        <v>0</v>
      </c>
    </row>
    <row r="68" spans="1:7" ht="32" x14ac:dyDescent="0.8">
      <c r="A68" s="9" t="s">
        <v>65</v>
      </c>
      <c r="B68" s="16">
        <f>B13</f>
        <v>46387</v>
      </c>
      <c r="C68" s="16">
        <f>C13</f>
        <v>46022</v>
      </c>
      <c r="D68" s="5"/>
      <c r="E68" s="9" t="s">
        <v>66</v>
      </c>
      <c r="F68" s="16">
        <f>B13</f>
        <v>46387</v>
      </c>
      <c r="G68" s="16">
        <f>C13</f>
        <v>46022</v>
      </c>
    </row>
    <row r="69" spans="1:7" ht="29.5" x14ac:dyDescent="0.75">
      <c r="A69" s="8" t="s">
        <v>67</v>
      </c>
      <c r="B69" s="20">
        <v>0</v>
      </c>
      <c r="C69" s="20">
        <v>0</v>
      </c>
      <c r="E69" s="8" t="s">
        <v>68</v>
      </c>
      <c r="F69" s="20">
        <v>0</v>
      </c>
      <c r="G69" s="20">
        <v>0</v>
      </c>
    </row>
    <row r="70" spans="1:7" ht="29.5" x14ac:dyDescent="0.75">
      <c r="A70" s="8" t="s">
        <v>69</v>
      </c>
      <c r="B70" s="20">
        <v>0</v>
      </c>
      <c r="C70" s="20">
        <v>0</v>
      </c>
      <c r="E70" s="8" t="s">
        <v>70</v>
      </c>
      <c r="F70" s="20">
        <v>0</v>
      </c>
      <c r="G70" s="20">
        <v>0</v>
      </c>
    </row>
    <row r="71" spans="1:7" x14ac:dyDescent="0.75">
      <c r="A71" s="8" t="s">
        <v>71</v>
      </c>
      <c r="B71" s="20">
        <v>0</v>
      </c>
      <c r="C71" s="20">
        <v>0</v>
      </c>
      <c r="E71" s="8" t="s">
        <v>72</v>
      </c>
      <c r="F71" s="20">
        <v>0</v>
      </c>
      <c r="G71" s="20">
        <v>0</v>
      </c>
    </row>
    <row r="72" spans="1:7" ht="29.5" x14ac:dyDescent="0.75">
      <c r="A72" s="8" t="s">
        <v>73</v>
      </c>
      <c r="B72" s="20">
        <v>0</v>
      </c>
      <c r="C72" s="20">
        <v>0</v>
      </c>
      <c r="E72" s="8" t="s">
        <v>74</v>
      </c>
      <c r="F72" s="20">
        <v>0</v>
      </c>
      <c r="G72" s="20">
        <v>0</v>
      </c>
    </row>
    <row r="73" spans="1:7" x14ac:dyDescent="0.75">
      <c r="A73" s="11" t="s">
        <v>5</v>
      </c>
      <c r="B73" s="12">
        <f>SUM(B69:B72)</f>
        <v>0</v>
      </c>
      <c r="C73" s="12">
        <f>SUM(C69:C72)</f>
        <v>0</v>
      </c>
      <c r="D73" s="4"/>
      <c r="E73" s="11" t="s">
        <v>5</v>
      </c>
      <c r="F73" s="12">
        <f>SUM(F69:F72)</f>
        <v>0</v>
      </c>
      <c r="G73" s="12">
        <f>SUM(G69:G72)</f>
        <v>0</v>
      </c>
    </row>
    <row r="74" spans="1:7" x14ac:dyDescent="0.75">
      <c r="A74" s="34" t="s">
        <v>63</v>
      </c>
      <c r="B74" s="34"/>
      <c r="C74" s="34"/>
      <c r="D74" s="34"/>
      <c r="E74" s="34"/>
      <c r="F74" s="10">
        <v>0</v>
      </c>
      <c r="G74" s="10">
        <v>0</v>
      </c>
    </row>
    <row r="75" spans="1:7" x14ac:dyDescent="0.75">
      <c r="A75" s="34" t="s">
        <v>75</v>
      </c>
      <c r="B75" s="34"/>
      <c r="C75" s="34"/>
      <c r="D75" s="34"/>
      <c r="E75" s="34"/>
      <c r="F75" s="10">
        <f>F73-B73</f>
        <v>0</v>
      </c>
      <c r="G75" s="10">
        <f>G73-C73</f>
        <v>0</v>
      </c>
    </row>
    <row r="76" spans="1:7" x14ac:dyDescent="0.75">
      <c r="A76" s="7"/>
      <c r="B76" s="7"/>
      <c r="C76" s="7"/>
      <c r="D76" s="7"/>
      <c r="E76" s="7"/>
    </row>
    <row r="77" spans="1:7" x14ac:dyDescent="0.75">
      <c r="A77" t="s">
        <v>0</v>
      </c>
    </row>
    <row r="78" spans="1:7" s="2" customFormat="1" ht="16" x14ac:dyDescent="0.8">
      <c r="A78" s="38"/>
      <c r="B78" s="38"/>
      <c r="C78" s="38"/>
      <c r="D78" s="38"/>
      <c r="E78" s="38"/>
      <c r="F78" s="17">
        <f>B13</f>
        <v>46387</v>
      </c>
      <c r="G78" s="17">
        <f>C13</f>
        <v>46022</v>
      </c>
    </row>
    <row r="79" spans="1:7" x14ac:dyDescent="0.75">
      <c r="A79" s="34" t="s">
        <v>64</v>
      </c>
      <c r="B79" s="34"/>
      <c r="C79" s="34"/>
      <c r="D79" s="34"/>
      <c r="E79" s="34"/>
      <c r="F79" s="10">
        <f>F65</f>
        <v>0</v>
      </c>
      <c r="G79" s="10">
        <f>G65</f>
        <v>0</v>
      </c>
    </row>
    <row r="80" spans="1:7" x14ac:dyDescent="0.75">
      <c r="A80" s="34" t="s">
        <v>75</v>
      </c>
      <c r="B80" s="34"/>
      <c r="C80" s="34"/>
      <c r="D80" s="34"/>
      <c r="E80" s="34"/>
      <c r="F80" s="10">
        <f>F75</f>
        <v>0</v>
      </c>
      <c r="G80" s="10">
        <f>G75</f>
        <v>0</v>
      </c>
    </row>
    <row r="81" spans="1:7" x14ac:dyDescent="0.75">
      <c r="A81" s="34" t="s">
        <v>76</v>
      </c>
      <c r="B81" s="34"/>
      <c r="C81" s="34"/>
      <c r="D81" s="34"/>
      <c r="E81" s="34"/>
      <c r="F81" s="10">
        <f>F79+F80-F74</f>
        <v>0</v>
      </c>
      <c r="G81" s="10">
        <f>G79+G80-G74</f>
        <v>0</v>
      </c>
    </row>
    <row r="82" spans="1:7" x14ac:dyDescent="0.75">
      <c r="A82" t="s">
        <v>0</v>
      </c>
    </row>
    <row r="84" spans="1:7" ht="16" x14ac:dyDescent="0.8">
      <c r="A84" s="35" t="s">
        <v>77</v>
      </c>
      <c r="B84" s="35"/>
      <c r="C84" s="35"/>
      <c r="D84" s="35"/>
      <c r="E84" s="35"/>
      <c r="F84" s="17">
        <f>B13</f>
        <v>46387</v>
      </c>
      <c r="G84" s="17">
        <f>C13</f>
        <v>46022</v>
      </c>
    </row>
    <row r="85" spans="1:7" x14ac:dyDescent="0.75">
      <c r="A85" s="36" t="s">
        <v>78</v>
      </c>
      <c r="B85" s="36"/>
      <c r="C85" s="36"/>
      <c r="D85" s="36"/>
      <c r="E85" s="36"/>
      <c r="F85" s="20">
        <v>0</v>
      </c>
      <c r="G85" s="20">
        <v>0</v>
      </c>
    </row>
    <row r="86" spans="1:7" x14ac:dyDescent="0.75">
      <c r="A86" s="36" t="s">
        <v>79</v>
      </c>
      <c r="B86" s="36"/>
      <c r="C86" s="36"/>
      <c r="D86" s="36"/>
      <c r="E86" s="36"/>
      <c r="F86" s="20">
        <v>0</v>
      </c>
      <c r="G86" s="20">
        <v>0</v>
      </c>
    </row>
    <row r="89" spans="1:7" ht="16" x14ac:dyDescent="0.8">
      <c r="A89" s="6" t="s">
        <v>1</v>
      </c>
      <c r="B89" s="17">
        <f>B13</f>
        <v>46387</v>
      </c>
      <c r="C89" s="17">
        <f>C13</f>
        <v>46022</v>
      </c>
      <c r="E89" s="6" t="s">
        <v>2</v>
      </c>
      <c r="F89" s="17">
        <f>B13</f>
        <v>46387</v>
      </c>
      <c r="G89" s="17">
        <f>C13</f>
        <v>46022</v>
      </c>
    </row>
    <row r="90" spans="1:7" x14ac:dyDescent="0.75">
      <c r="A90" t="s">
        <v>3</v>
      </c>
      <c r="B90" s="10">
        <v>0</v>
      </c>
      <c r="C90" s="10">
        <v>0</v>
      </c>
      <c r="E90" t="s">
        <v>3</v>
      </c>
      <c r="F90" s="10">
        <v>0</v>
      </c>
      <c r="G90" s="10">
        <v>0</v>
      </c>
    </row>
    <row r="91" spans="1:7" x14ac:dyDescent="0.75">
      <c r="A91" t="s">
        <v>4</v>
      </c>
      <c r="B91" s="10">
        <v>0</v>
      </c>
      <c r="C91" s="10">
        <v>0</v>
      </c>
      <c r="E91" t="s">
        <v>4</v>
      </c>
      <c r="F91" s="10">
        <v>0</v>
      </c>
      <c r="G91" s="10">
        <v>0</v>
      </c>
    </row>
    <row r="92" spans="1:7" x14ac:dyDescent="0.75">
      <c r="A92" s="11" t="s">
        <v>5</v>
      </c>
      <c r="B92" s="12">
        <f>SUM(B90:B91)</f>
        <v>0</v>
      </c>
      <c r="C92" s="12">
        <f>SUM(C90:C91)</f>
        <v>0</v>
      </c>
      <c r="D92" s="4"/>
      <c r="E92" s="11" t="s">
        <v>5</v>
      </c>
      <c r="F92" s="12">
        <f>SUM(F90:F91)</f>
        <v>0</v>
      </c>
      <c r="G92" s="12">
        <f>SUM(G90:G91)</f>
        <v>0</v>
      </c>
    </row>
    <row r="93" spans="1:7" x14ac:dyDescent="0.75">
      <c r="A93" s="11"/>
      <c r="B93" s="12"/>
      <c r="C93" s="12"/>
      <c r="D93" s="4"/>
      <c r="E93" s="11"/>
      <c r="F93" s="12"/>
      <c r="G93" s="12"/>
    </row>
    <row r="94" spans="1:7" x14ac:dyDescent="0.75">
      <c r="A94" s="11"/>
      <c r="B94" s="12"/>
      <c r="C94" s="12"/>
      <c r="D94" s="4"/>
      <c r="E94" s="11"/>
      <c r="F94" s="12"/>
      <c r="G94" s="12"/>
    </row>
    <row r="97" spans="1:9" x14ac:dyDescent="0.75">
      <c r="C97" s="1"/>
      <c r="D97" s="1"/>
      <c r="H97" s="1"/>
      <c r="I97" s="1"/>
    </row>
    <row r="99" spans="1:9" ht="16" customHeight="1" x14ac:dyDescent="0.8">
      <c r="A99" s="5" t="s">
        <v>98</v>
      </c>
      <c r="B99" s="5"/>
    </row>
    <row r="100" spans="1:9" ht="16" customHeight="1" x14ac:dyDescent="0.8">
      <c r="A100" s="13" t="s">
        <v>81</v>
      </c>
      <c r="B100" s="14">
        <f>G85+G86</f>
        <v>0</v>
      </c>
    </row>
    <row r="101" spans="1:9" ht="16" customHeight="1" x14ac:dyDescent="0.8">
      <c r="A101" s="13" t="s">
        <v>82</v>
      </c>
      <c r="B101" s="14">
        <f>F81</f>
        <v>0</v>
      </c>
    </row>
    <row r="102" spans="1:9" ht="16" customHeight="1" x14ac:dyDescent="0.8">
      <c r="A102" s="5" t="s">
        <v>97</v>
      </c>
      <c r="B102" s="25">
        <f>SUM(B100:B101)</f>
        <v>0</v>
      </c>
    </row>
    <row r="103" spans="1:9" ht="16" customHeight="1" x14ac:dyDescent="0.8">
      <c r="A103" s="13" t="s">
        <v>83</v>
      </c>
      <c r="B103" s="14">
        <f>F85+F86</f>
        <v>0</v>
      </c>
    </row>
    <row r="104" spans="1:9" ht="16" customHeight="1" x14ac:dyDescent="0.8">
      <c r="A104" s="5" t="s">
        <v>96</v>
      </c>
      <c r="B104" s="25">
        <f>B102-B103</f>
        <v>0</v>
      </c>
    </row>
    <row r="105" spans="1:9" ht="16" customHeight="1" x14ac:dyDescent="0.8">
      <c r="A105" s="15" t="s">
        <v>84</v>
      </c>
      <c r="B105" s="33" t="str">
        <f>IF(B104=0,"Quadratura OK","Errore quadratura")</f>
        <v>Quadratura OK</v>
      </c>
      <c r="C105" s="33"/>
      <c r="D105" s="13"/>
      <c r="E105" s="13"/>
      <c r="F105" s="13"/>
      <c r="G105" s="13"/>
    </row>
    <row r="108" spans="1:9" ht="16" x14ac:dyDescent="0.8">
      <c r="A108" s="5" t="s">
        <v>104</v>
      </c>
      <c r="B108" s="13"/>
    </row>
    <row r="109" spans="1:9" ht="16" x14ac:dyDescent="0.8">
      <c r="A109" s="13" t="s">
        <v>107</v>
      </c>
      <c r="B109" s="13"/>
    </row>
    <row r="110" spans="1:9" ht="16" x14ac:dyDescent="0.8">
      <c r="A110" s="13" t="s">
        <v>101</v>
      </c>
      <c r="B110" s="13"/>
    </row>
    <row r="111" spans="1:9" ht="16" x14ac:dyDescent="0.8">
      <c r="A111" s="13" t="s">
        <v>102</v>
      </c>
      <c r="B111" s="13"/>
    </row>
    <row r="112" spans="1:9" ht="16" x14ac:dyDescent="0.8">
      <c r="B112" s="13"/>
    </row>
    <row r="113" spans="1:2" ht="16" x14ac:dyDescent="0.8">
      <c r="A113" s="13"/>
      <c r="B113" s="13"/>
    </row>
    <row r="114" spans="1:2" ht="16" x14ac:dyDescent="0.8">
      <c r="A114" s="13" t="s">
        <v>118</v>
      </c>
      <c r="B114" s="13"/>
    </row>
    <row r="115" spans="1:2" ht="16" x14ac:dyDescent="0.8">
      <c r="A115" s="13" t="s">
        <v>100</v>
      </c>
      <c r="B115" s="13"/>
    </row>
    <row r="116" spans="1:2" ht="16" x14ac:dyDescent="0.8">
      <c r="A116" s="27" t="s">
        <v>93</v>
      </c>
      <c r="B116" s="13"/>
    </row>
    <row r="117" spans="1:2" ht="16" x14ac:dyDescent="0.8">
      <c r="A117" s="26" t="s">
        <v>99</v>
      </c>
      <c r="B117" s="13"/>
    </row>
    <row r="118" spans="1:2" ht="16" x14ac:dyDescent="0.8">
      <c r="A118" s="26"/>
      <c r="B118" s="13"/>
    </row>
    <row r="119" spans="1:2" s="30" customFormat="1" ht="16" x14ac:dyDescent="0.8">
      <c r="A119" s="28"/>
      <c r="B119" s="29"/>
    </row>
    <row r="120" spans="1:2" s="30" customFormat="1" ht="16" x14ac:dyDescent="0.8">
      <c r="A120" s="31" t="s">
        <v>115</v>
      </c>
      <c r="B120" s="29"/>
    </row>
    <row r="121" spans="1:2" s="30" customFormat="1" ht="16" x14ac:dyDescent="0.8">
      <c r="A121" s="28" t="s">
        <v>117</v>
      </c>
      <c r="B121" s="29"/>
    </row>
    <row r="122" spans="1:2" s="30" customFormat="1" ht="16" x14ac:dyDescent="0.8">
      <c r="A122" s="27" t="s">
        <v>116</v>
      </c>
      <c r="B122" s="29"/>
    </row>
    <row r="123" spans="1:2" s="30" customFormat="1" ht="16" x14ac:dyDescent="0.8">
      <c r="A123" s="27"/>
      <c r="B123" s="29"/>
    </row>
    <row r="124" spans="1:2" s="30" customFormat="1" ht="16" x14ac:dyDescent="0.8">
      <c r="A124" s="28"/>
      <c r="B124" s="29"/>
    </row>
    <row r="125" spans="1:2" s="23" customFormat="1" ht="16" x14ac:dyDescent="0.8">
      <c r="A125" s="31" t="s">
        <v>111</v>
      </c>
      <c r="B125" s="32"/>
    </row>
    <row r="126" spans="1:2" s="30" customFormat="1" ht="16" x14ac:dyDescent="0.8">
      <c r="A126" s="28" t="s">
        <v>109</v>
      </c>
      <c r="B126" s="29"/>
    </row>
    <row r="127" spans="1:2" s="30" customFormat="1" ht="16" x14ac:dyDescent="0.8">
      <c r="A127" s="28" t="s">
        <v>110</v>
      </c>
      <c r="B127" s="29"/>
    </row>
    <row r="128" spans="1:2" ht="16" x14ac:dyDescent="0.8">
      <c r="A128" s="5" t="s">
        <v>112</v>
      </c>
      <c r="B128" s="13"/>
    </row>
    <row r="129" spans="1:2" ht="16" x14ac:dyDescent="0.8">
      <c r="A129" s="13" t="s">
        <v>113</v>
      </c>
      <c r="B129" s="13"/>
    </row>
    <row r="130" spans="1:2" ht="16" x14ac:dyDescent="0.8">
      <c r="A130" s="13" t="s">
        <v>114</v>
      </c>
      <c r="B130" s="13"/>
    </row>
    <row r="131" spans="1:2" ht="16" x14ac:dyDescent="0.8">
      <c r="A131" s="13" t="s">
        <v>105</v>
      </c>
      <c r="B131" s="13"/>
    </row>
    <row r="132" spans="1:2" ht="16" x14ac:dyDescent="0.8">
      <c r="A132" s="13" t="s">
        <v>87</v>
      </c>
      <c r="B132" s="13"/>
    </row>
    <row r="133" spans="1:2" ht="16" x14ac:dyDescent="0.8">
      <c r="A133" s="26" t="s">
        <v>88</v>
      </c>
      <c r="B133" s="13"/>
    </row>
    <row r="134" spans="1:2" ht="16" x14ac:dyDescent="0.8">
      <c r="A134" s="13"/>
      <c r="B134" s="13"/>
    </row>
    <row r="135" spans="1:2" ht="16" x14ac:dyDescent="0.8">
      <c r="A135" s="13" t="s">
        <v>89</v>
      </c>
      <c r="B135" s="13"/>
    </row>
    <row r="136" spans="1:2" ht="16" x14ac:dyDescent="0.8">
      <c r="A136" s="26" t="s">
        <v>90</v>
      </c>
      <c r="B136" s="13"/>
    </row>
    <row r="137" spans="1:2" ht="16" x14ac:dyDescent="0.8">
      <c r="A137" s="13"/>
      <c r="B137" s="13"/>
    </row>
    <row r="138" spans="1:2" ht="16" x14ac:dyDescent="0.8">
      <c r="A138" s="13"/>
      <c r="B138" s="13"/>
    </row>
    <row r="139" spans="1:2" ht="16" x14ac:dyDescent="0.8">
      <c r="A139" s="13" t="s">
        <v>106</v>
      </c>
      <c r="B139" s="13"/>
    </row>
  </sheetData>
  <mergeCells count="18">
    <mergeCell ref="A79:E79"/>
    <mergeCell ref="A8:E8"/>
    <mergeCell ref="A26:E26"/>
    <mergeCell ref="A36:E36"/>
    <mergeCell ref="A43:E43"/>
    <mergeCell ref="A52:E52"/>
    <mergeCell ref="A63:E63"/>
    <mergeCell ref="A64:E64"/>
    <mergeCell ref="A65:E65"/>
    <mergeCell ref="A74:E74"/>
    <mergeCell ref="A75:E75"/>
    <mergeCell ref="A78:E78"/>
    <mergeCell ref="B105:C105"/>
    <mergeCell ref="A80:E80"/>
    <mergeCell ref="A81:E81"/>
    <mergeCell ref="A84:E84"/>
    <mergeCell ref="A85:E85"/>
    <mergeCell ref="A86:E86"/>
  </mergeCells>
  <phoneticPr fontId="8" type="noConversion"/>
  <conditionalFormatting sqref="A105:C105">
    <cfRule type="expression" dxfId="2" priority="1">
      <formula>$B$105="Quadratura OK"</formula>
    </cfRule>
    <cfRule type="expression" dxfId="1" priority="2">
      <formula>$B$105="Errore quadratura"</formula>
    </cfRule>
  </conditionalFormatting>
  <conditionalFormatting sqref="B15:C19 F15:G24 B29:C33 F29:G34 B39:C41 F39:G41 B46:C50 F46:G50 F55:G56 B55:C59 F64:G64 B69:C72 F69:G72 F74:G74 F79:G81 F85:G86 B90:C91 F90:G91">
    <cfRule type="expression" dxfId="0" priority="4">
      <formula>UPPER(TRIM($B$5))="SI"</formula>
    </cfRule>
  </conditionalFormatting>
  <dataValidations count="1">
    <dataValidation type="list" showInputMessage="1" showErrorMessage="1" sqref="B5" xr:uid="{79B1FB1E-D2E6-4372-8C9B-16A9C050BFAD}">
      <formula1>"Si,No"</formula1>
    </dataValidation>
  </dataValidations>
  <hyperlinks>
    <hyperlink ref="A133" r:id="rId1" tooltip="https://www.banana.ch/apps/it/it/contabilita-terzo-settore/fino-a-300000" xr:uid="{A59A2887-F854-9A4D-8B4D-BE6E12243749}"/>
    <hyperlink ref="A136" r:id="rId2" tooltip="https://www.banana.ch/it/node/9249" xr:uid="{B43AA590-682D-AE46-850F-5944AE67B430}"/>
    <hyperlink ref="A116" r:id="rId3" xr:uid="{3790B8D1-CB6E-46EF-89B8-9A24475ADEDA}"/>
    <hyperlink ref="A117" r:id="rId4" xr:uid="{FAAD52DE-39AC-4ADB-93B1-F7F1CB7B8A23}"/>
    <hyperlink ref="A122" r:id="rId5" xr:uid="{D19CD639-7985-436E-98CA-F59FE337A4D4}"/>
  </hyperlinks>
  <pageMargins left="0.70866141732283472" right="0.70866141732283472" top="0.74803149606299213" bottom="0.74803149606299213" header="0" footer="0.31496062992125984"/>
  <pageSetup paperSize="9" scale="51" fitToWidth="0" fitToHeight="0" orientation="portrait" r:id="rId6"/>
  <rowBreaks count="1" manualBreakCount="1">
    <brk id="9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Foglio1</vt:lpstr>
      <vt:lpstr>Foglio1!Area_stampa</vt:lpstr>
      <vt:lpstr>ZonaInserimento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Mercurio</dc:creator>
  <cp:lastModifiedBy>Michael Mercurio</cp:lastModifiedBy>
  <cp:lastPrinted>2026-02-16T08:55:34Z</cp:lastPrinted>
  <dcterms:created xsi:type="dcterms:W3CDTF">2021-12-14T12:48:37Z</dcterms:created>
  <dcterms:modified xsi:type="dcterms:W3CDTF">2026-10-23T14:14:25Z</dcterms:modified>
</cp:coreProperties>
</file>